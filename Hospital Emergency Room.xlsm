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166925"/>
  <mc:AlternateContent xmlns:mc="http://schemas.openxmlformats.org/markup-compatibility/2006">
    <mc:Choice Requires="x15">
      <x15ac:absPath xmlns:x15ac="http://schemas.microsoft.com/office/spreadsheetml/2010/11/ac" url="C:\Users\SAAD\Downloads\EXCEL PRACTICE\Hospital Management System\"/>
    </mc:Choice>
  </mc:AlternateContent>
  <xr:revisionPtr revIDLastSave="0" documentId="13_ncr:1_{920151C9-704F-4E7F-91A5-FCA3342D35C7}" xr6:coauthVersionLast="47" xr6:coauthVersionMax="47" xr10:uidLastSave="{00000000-0000-0000-0000-000000000000}"/>
  <bookViews>
    <workbookView xWindow="-108" yWindow="-108" windowWidth="23256" windowHeight="12456" firstSheet="1" activeTab="1" xr2:uid="{A943AAC6-108B-468E-A0E3-FAF26D54A1B6}"/>
  </bookViews>
  <sheets>
    <sheet name="Pivot Report" sheetId="1" state="hidden" r:id="rId1"/>
    <sheet name="Dashboard" sheetId="4" r:id="rId2"/>
  </sheets>
  <definedNames>
    <definedName name="_xlpm.p" hidden="1" xlm="1">#NAME?</definedName>
    <definedName name="Slicer_Date__Month">#N/A</definedName>
    <definedName name="Slicer_Date__Year">#N/A</definedName>
  </definedNames>
  <calcPr calcId="191029"/>
  <pivotCaches>
    <pivotCache cacheId="603" r:id="rId3"/>
    <pivotCache cacheId="783" r:id="rId4"/>
    <pivotCache cacheId="786" r:id="rId5"/>
    <pivotCache cacheId="789" r:id="rId6"/>
    <pivotCache cacheId="792" r:id="rId7"/>
    <pivotCache cacheId="795" r:id="rId8"/>
    <pivotCache cacheId="798" r:id="rId9"/>
    <pivotCache cacheId="801" r:id="rId10"/>
    <pivotCache cacheId="804" r:id="rId11"/>
    <pivotCache cacheId="807" r:id="rId12"/>
    <pivotCache cacheId="810" r:id="rId13"/>
    <pivotCache cacheId="813" r:id="rId14"/>
  </pivotCaches>
  <extLst>
    <ext xmlns:x14="http://schemas.microsoft.com/office/spreadsheetml/2009/9/main" uri="{876F7934-8845-4945-9796-88D515C7AA90}">
      <x14:pivotCaches>
        <pivotCache cacheId="12" r:id="rId15"/>
      </x14:pivotCaches>
    </ex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85c42ceb-74ef-497e-a708-a7f980faf14d" name="Hospital Emergency Room Data" connection="Query - Hospital Emergency Room Data"/>
          <x15:modelTable id="Calendar_Table_950f4453-2352-473a-9bfc-98b4eada894a" name="Calendar_Table" connection="Query - Calendar_Table"/>
        </x15:modelTables>
        <x15:modelRelationships>
          <x15:modelRelationship fromTable="Hospital Emergency Room Data" fromColumn="Patient Admission Date" toTable="Calendar_Table" toColumn="Date"/>
        </x15:modelRelationships>
        <x15:extLst>
          <ext xmlns:x16="http://schemas.microsoft.com/office/spreadsheetml/2014/11/main" uri="{9835A34E-60A6-4A7C-AAB8-D5F71C897F49}">
            <x16:modelTimeGroupings>
              <x16:modelTimeGrouping tableName="Calendar_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2" i="1" l="1"/>
  <c r="E32" i="1" s="1"/>
  <c r="D31" i="1"/>
  <c r="E31" i="1" s="1"/>
  <c r="B32" i="1"/>
  <c r="C32" i="1"/>
  <c r="C31" i="1"/>
  <c r="B31" i="1"/>
  <c r="I21" i="1"/>
  <c r="I20" i="1"/>
  <c r="I19"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216BD8-4FCF-4AEF-AC74-14275AF92785}" name="Query - Calendar_Table" description="Connection to the 'Calendar_Table' query in the workbook." type="100" refreshedVersion="8" minRefreshableVersion="5">
    <extLst>
      <ext xmlns:x15="http://schemas.microsoft.com/office/spreadsheetml/2010/11/main" uri="{DE250136-89BD-433C-8126-D09CA5730AF9}">
        <x15:connection id="0e657698-54b6-4b7f-bc4c-4c5f10bf8327"/>
      </ext>
    </extLst>
  </connection>
  <connection id="2" xr16:uid="{1A6E91D1-1E87-4DF2-B658-6DA21D76ACA0}"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baa2f296-f0f8-4896-af1b-a5493ca50fdb"/>
      </ext>
    </extLst>
  </connection>
  <connection id="3" xr16:uid="{E686C94B-0B89-448E-AA3C-4F5D4AA0FEED}"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<sst xmlns="http://schemas.openxmlformats.org/spreadsheetml/2006/main" count="79" uniqueCount="49">
  <si>
    <t>Distinct Count of Patient Id</t>
  </si>
  <si>
    <t>No of Patients</t>
  </si>
  <si>
    <t>Average of Patient Waittime</t>
  </si>
  <si>
    <t>Average of Patient Satisfaction Score</t>
  </si>
  <si>
    <t>Row Labels</t>
  </si>
  <si>
    <t>Apr</t>
  </si>
  <si>
    <t>May</t>
  </si>
  <si>
    <t>Jun</t>
  </si>
  <si>
    <t>Jul</t>
  </si>
  <si>
    <t>Aug</t>
  </si>
  <si>
    <t>Sep</t>
  </si>
  <si>
    <t>Oct</t>
  </si>
  <si>
    <t>Count of Patient Id</t>
  </si>
  <si>
    <t>Count of Patient Id2</t>
  </si>
  <si>
    <t>Admitted</t>
  </si>
  <si>
    <t>Not Admitted</t>
  </si>
  <si>
    <t>Count of Patient Admission Flag</t>
  </si>
  <si>
    <t>Count of Patient Admission Flag2</t>
  </si>
  <si>
    <t>Grand Total</t>
  </si>
  <si>
    <t xml:space="preserve">Admission Status </t>
  </si>
  <si>
    <t>Patients</t>
  </si>
  <si>
    <t>% of Total</t>
  </si>
  <si>
    <t>Status in %</t>
  </si>
  <si>
    <t>0-09</t>
  </si>
  <si>
    <t>10-19</t>
  </si>
  <si>
    <t>20-29</t>
  </si>
  <si>
    <t>30-39</t>
  </si>
  <si>
    <t>40-49</t>
  </si>
  <si>
    <t>50-59</t>
  </si>
  <si>
    <t>60-69</t>
  </si>
  <si>
    <t>70-79</t>
  </si>
  <si>
    <t>Count of Age Group</t>
  </si>
  <si>
    <t>Male</t>
  </si>
  <si>
    <t>None</t>
  </si>
  <si>
    <t>Ontime</t>
  </si>
  <si>
    <t>Delay</t>
  </si>
  <si>
    <t>Female</t>
  </si>
  <si>
    <t>General Practice</t>
  </si>
  <si>
    <t>Orthopedics</t>
  </si>
  <si>
    <t>Physiotherapy</t>
  </si>
  <si>
    <t>Cardiology</t>
  </si>
  <si>
    <t>Neurology</t>
  </si>
  <si>
    <t>Gastroenterology</t>
  </si>
  <si>
    <t>Renal</t>
  </si>
  <si>
    <t>Count of Calculated Column 1</t>
  </si>
  <si>
    <t>2024</t>
  </si>
  <si>
    <t>Jan</t>
  </si>
  <si>
    <t>Feb</t>
  </si>
  <si>
    <t>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</si>
</sst>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 +&quot;0.0%;&quot;▼ &quot;0.0%;&quot;-&quot;"/>
    <numFmt numFmtId="165" formatCode="&quot;▲ &quot;0.0%;&quot;▼ &quot;0.0%;&quot;-&quot;"/>
  </numFmts>
  <fonts count="4" x14ac:knownFonts="1">
    <font>
      <sz val="11"/>
      <color theme="1"/>
      <name val="Calibri"/>
      <family val="2"/>
      <scheme val="minor"/>
    </font>
    <font>
      <sz val="8"/>
      <name val="Calibri"/>
      <family val="2"/>
      <scheme val="minor"/>
    </font>
    <font>
      <b/>
      <sz val="11"/>
      <color theme="0"/>
      <name val="Calibri"/>
      <family val="2"/>
      <scheme val="minor"/>
    </font>
    <font>
      <b/>
      <sz val="11"/>
      <color theme="1"/>
      <name val="Calibri"/>
      <family val="2"/>
      <scheme val="minor"/>
    </font>
  </fonts>
  <fills count="6">
    <fill>
      <patternFill patternType="none"/>
    </fill>
    <fill>
      <patternFill patternType="gray125"/>
    </fill>
    <fill>
      <patternFill patternType="solid">
        <fgColor rgb="FF121923"/>
        <bgColor indexed="64"/>
      </patternFill>
    </fill>
    <fill>
      <patternFill patternType="solid">
        <fgColor rgb="FF1E465A"/>
        <bgColor indexed="64"/>
      </patternFill>
    </fill>
    <fill>
      <patternFill patternType="solid">
        <fgColor rgb="FF052138"/>
        <bgColor indexed="64"/>
      </patternFill>
    </fill>
    <fill>
      <patternFill patternType="solid">
        <fgColor rgb="FF192834"/>
        <bgColor indexed="64"/>
      </patternFill>
    </fill>
  </fills>
  <borders count="5">
    <border>
      <left/>
      <right/>
      <top/>
      <bottom/>
      <diagonal/>
    </border>
    <border>
      <left style="thin">
        <color rgb="FF006082"/>
      </left>
      <right style="thin">
        <color rgb="FF006082"/>
      </right>
      <top style="thin">
        <color rgb="FF006082"/>
      </top>
      <bottom style="thin">
        <color rgb="FF006082"/>
      </bottom>
      <diagonal/>
    </border>
    <border>
      <left style="thin">
        <color rgb="FF006082"/>
      </left>
      <right/>
      <top style="thin">
        <color rgb="FF006082"/>
      </top>
      <bottom/>
      <diagonal/>
    </border>
    <border>
      <left style="thin">
        <color rgb="FF006082"/>
      </left>
      <right/>
      <top style="thin">
        <color rgb="FF006082"/>
      </top>
      <bottom style="thin">
        <color rgb="FF006082"/>
      </bottom>
      <diagonal/>
    </border>
    <border>
      <left style="thin">
        <color rgb="FF006082"/>
      </left>
      <right style="thin">
        <color rgb="FF006082"/>
      </right>
      <top style="thin">
        <color rgb="FF006082"/>
      </top>
      <bottom/>
      <diagonal/>
    </border>
  </borders>
  <cellStyleXfs count="1">
    <xf numFmtId="0" fontId="0" fillId="0" borderId="0"/>
  </cellStyleXfs>
  <cellXfs count="23">
    <xf numFmtId="0" fontId="0" fillId="0" borderId="0" xfId="0"/>
    <xf numFmtId="2" fontId="0" fillId="0" borderId="0" xfId="0" applyNumberFormat="1"/>
    <xf numFmtId="0" fontId="0" fillId="2" borderId="0" xfId="0" applyFill="1"/>
    <xf numFmtId="0" fontId="0" fillId="0" borderId="0" xfId="0" pivotButton="1"/>
    <xf numFmtId="0" fontId="0" fillId="0" borderId="0" xfId="0" applyAlignment="1">
      <alignment horizontal="left"/>
    </xf>
    <xf numFmtId="164" fontId="0" fillId="0" borderId="0" xfId="0" applyNumberFormat="1"/>
    <xf numFmtId="10" fontId="0" fillId="0" borderId="0" xfId="0" applyNumberFormat="1"/>
    <xf numFmtId="0" fontId="2" fillId="4" borderId="1" xfId="0" applyFont="1" applyFill="1" applyBorder="1" applyAlignment="1">
      <alignment horizontal="center"/>
    </xf>
    <xf numFmtId="0" fontId="2" fillId="3" borderId="1" xfId="0" applyFont="1" applyFill="1" applyBorder="1"/>
    <xf numFmtId="0" fontId="2" fillId="3" borderId="1" xfId="0" applyFont="1" applyFill="1" applyBorder="1" applyAlignment="1">
      <alignment horizontal="center" vertical="center"/>
    </xf>
    <xf numFmtId="10" fontId="2" fillId="3" borderId="1" xfId="0" applyNumberFormat="1" applyFont="1" applyFill="1" applyBorder="1" applyAlignment="1">
      <alignment horizontal="center" vertical="center"/>
    </xf>
    <xf numFmtId="0" fontId="2" fillId="4" borderId="3" xfId="0" applyFont="1" applyFill="1" applyBorder="1" applyAlignment="1">
      <alignment horizontal="center"/>
    </xf>
    <xf numFmtId="10" fontId="0" fillId="5" borderId="3" xfId="0" applyNumberFormat="1" applyFill="1" applyBorder="1"/>
    <xf numFmtId="0" fontId="2" fillId="3" borderId="4" xfId="0" applyFont="1" applyFill="1" applyBorder="1"/>
    <xf numFmtId="0" fontId="2" fillId="3" borderId="4" xfId="0" applyFont="1" applyFill="1" applyBorder="1" applyAlignment="1">
      <alignment horizontal="center" vertical="center"/>
    </xf>
    <xf numFmtId="10" fontId="2" fillId="3" borderId="4" xfId="0" applyNumberFormat="1" applyFont="1" applyFill="1" applyBorder="1" applyAlignment="1">
      <alignment horizontal="center" vertical="center"/>
    </xf>
    <xf numFmtId="10" fontId="0" fillId="5" borderId="2" xfId="0" applyNumberFormat="1" applyFill="1" applyBorder="1"/>
    <xf numFmtId="1" fontId="0" fillId="0" borderId="0" xfId="0" applyNumberFormat="1"/>
    <xf numFmtId="0" fontId="3" fillId="0" borderId="0" xfId="0" applyFont="1" applyAlignment="1">
      <alignment horizontal="center" vertical="center" wrapText="1"/>
    </xf>
    <xf numFmtId="0" fontId="0" fillId="0" borderId="0" xfId="0" applyAlignment="1">
      <alignment vertical="center" wrapText="1"/>
    </xf>
    <xf numFmtId="0" fontId="3" fillId="0" borderId="0" xfId="0" applyFont="1" applyAlignment="1">
      <alignment vertical="center" wrapText="1"/>
    </xf>
    <xf numFmtId="0" fontId="0" fillId="0" borderId="0" xfId="0" applyNumberFormat="1"/>
    <xf numFmtId="165" fontId="0" fillId="0" borderId="0" xfId="0" applyNumberFormat="1"/>
  </cellXfs>
  <cellStyles count="1">
    <cellStyle name="Normal" xfId="0" builtinId="0"/>
  </cellStyles>
  <dxfs count="54">
    <dxf>
      <numFmt numFmtId="2" formatCode="0.00"/>
    </dxf>
    <dxf>
      <numFmt numFmtId="1" formatCode="0"/>
    </dxf>
    <dxf>
      <numFmt numFmtId="1" formatCode="0"/>
    </dxf>
    <dxf>
      <numFmt numFmtId="2" formatCode="0.00"/>
    </dxf>
    <dxf>
      <numFmt numFmtId="1" formatCode="0"/>
    </dxf>
    <dxf>
      <numFmt numFmtId="2" formatCode="0.00"/>
    </dxf>
    <dxf>
      <numFmt numFmtId="2" formatCode="0.00"/>
    </dxf>
    <dxf>
      <numFmt numFmtId="1" formatCode="0"/>
    </dxf>
    <dxf>
      <numFmt numFmtId="2" formatCode="0.00"/>
    </dxf>
    <dxf>
      <numFmt numFmtId="14" formatCode="0.00%"/>
    </dxf>
    <dxf>
      <numFmt numFmtId="2" formatCode="0.00"/>
    </dxf>
    <dxf>
      <numFmt numFmtId="2" formatCode="0.00"/>
    </dxf>
    <dxf>
      <numFmt numFmtId="2" formatCode="0.00"/>
    </dxf>
    <dxf>
      <numFmt numFmtId="1" formatCode="0"/>
    </dxf>
    <dxf>
      <numFmt numFmtId="1" formatCode="0"/>
    </dxf>
    <dxf>
      <numFmt numFmtId="2" formatCode="0.00"/>
    </dxf>
    <dxf>
      <numFmt numFmtId="1" formatCode="0"/>
    </dxf>
    <dxf>
      <numFmt numFmtId="2" formatCode="0.00"/>
    </dxf>
    <dxf>
      <numFmt numFmtId="2" formatCode="0.00"/>
    </dxf>
    <dxf>
      <numFmt numFmtId="1" formatCode="0"/>
    </dxf>
    <dxf>
      <numFmt numFmtId="2" formatCode="0.00"/>
    </dxf>
    <dxf>
      <numFmt numFmtId="14" formatCode="0.00%"/>
    </dxf>
    <dxf>
      <numFmt numFmtId="2" formatCode="0.00"/>
    </dxf>
    <dxf>
      <numFmt numFmtId="2" formatCode="0.00"/>
    </dxf>
    <dxf>
      <numFmt numFmtId="2" formatCode="0.00"/>
    </dxf>
    <dxf>
      <numFmt numFmtId="1" formatCode="0"/>
    </dxf>
    <dxf>
      <numFmt numFmtId="1" formatCode="0"/>
    </dxf>
    <dxf>
      <numFmt numFmtId="2" formatCode="0.00"/>
    </dxf>
    <dxf>
      <numFmt numFmtId="1" formatCode="0"/>
    </dxf>
    <dxf>
      <numFmt numFmtId="2" formatCode="0.00"/>
    </dxf>
    <dxf>
      <numFmt numFmtId="2" formatCode="0.00"/>
    </dxf>
    <dxf>
      <numFmt numFmtId="1" formatCode="0"/>
    </dxf>
    <dxf>
      <numFmt numFmtId="2" formatCode="0.00"/>
    </dxf>
    <dxf>
      <numFmt numFmtId="14" formatCode="0.00%"/>
    </dxf>
    <dxf>
      <numFmt numFmtId="2" formatCode="0.00"/>
    </dxf>
    <dxf>
      <numFmt numFmtId="2" formatCode="0.00"/>
    </dxf>
    <dxf>
      <numFmt numFmtId="14" formatCode="0.00%"/>
    </dxf>
    <dxf>
      <numFmt numFmtId="2" formatCode="0.00"/>
    </dxf>
    <dxf>
      <numFmt numFmtId="1" formatCode="0"/>
    </dxf>
    <dxf>
      <numFmt numFmtId="2" formatCode="0.00"/>
    </dxf>
    <dxf>
      <numFmt numFmtId="1" formatCode="0"/>
    </dxf>
    <dxf>
      <numFmt numFmtId="2" formatCode="0.00"/>
    </dxf>
    <dxf>
      <numFmt numFmtId="2" formatCode="0.00"/>
    </dxf>
    <dxf>
      <numFmt numFmtId="164" formatCode="&quot;▲ +&quot;0.0%;&quot;▼ &quot;0.0%;&quot;-&quot;"/>
    </dxf>
    <dxf>
      <numFmt numFmtId="165" formatCode="&quot;▲ &quot;0.0%;&quot;▼ &quot;0.0%;&quot;-&quot;"/>
    </dxf>
    <dxf>
      <numFmt numFmtId="2" formatCode="0.00"/>
    </dxf>
    <dxf>
      <numFmt numFmtId="2" formatCode="0.00"/>
    </dxf>
    <dxf>
      <numFmt numFmtId="2" formatCode="0.00"/>
    </dxf>
    <dxf>
      <numFmt numFmtId="1" formatCode="0"/>
    </dxf>
    <dxf>
      <numFmt numFmtId="1" formatCode="0"/>
    </dxf>
    <dxf>
      <font>
        <b/>
        <color theme="1"/>
      </font>
      <border>
        <bottom style="thin">
          <color theme="5"/>
        </bottom>
        <vertical/>
        <horizontal/>
      </border>
    </dxf>
    <dxf>
      <font>
        <sz val="9"/>
        <color rgb="FF1E2D3A"/>
      </font>
      <fill>
        <patternFill>
          <bgColor rgb="FF121923"/>
        </patternFill>
      </fill>
      <border diagonalUp="0" diagonalDown="0">
        <left/>
        <right/>
        <top/>
        <bottom/>
        <vertical/>
        <horizontal/>
      </border>
    </dxf>
    <dxf>
      <font>
        <b/>
        <color theme="1"/>
      </font>
      <border>
        <bottom style="thin">
          <color theme="5"/>
        </bottom>
        <vertical/>
        <horizontal/>
      </border>
    </dxf>
    <dxf>
      <font>
        <sz val="11"/>
        <color theme="1"/>
      </font>
      <fill>
        <patternFill>
          <bgColor rgb="FF121923"/>
        </patternFill>
      </fill>
      <border diagonalUp="0" diagonalDown="0">
        <left/>
        <right/>
        <top/>
        <bottom/>
        <vertical/>
        <horizontal/>
      </border>
    </dxf>
  </dxfs>
  <tableStyles count="2" defaultTableStyle="TableStyleMedium2" defaultPivotStyle="PivotStyleLight16">
    <tableStyle name="MY STYLE" pivot="0" table="0" count="10" xr9:uid="{0EFF5880-5E1E-4679-9907-ABD2FAB06C5E}">
      <tableStyleElement type="wholeTable" dxfId="53"/>
      <tableStyleElement type="headerRow" dxfId="52"/>
    </tableStyle>
    <tableStyle name="MY STYLE 2" pivot="0" table="0" count="10" xr9:uid="{A5154129-DBBD-4AD5-98A5-C13004B9D6CB}">
      <tableStyleElement type="wholeTable" dxfId="51"/>
      <tableStyleElement type="headerRow" dxfId="50"/>
    </tableStyle>
  </tableStyles>
  <colors>
    <mruColors>
      <color rgb="FF1E2D3A"/>
      <color rgb="FFFF5B8F"/>
      <color rgb="FF00B0F0"/>
      <color rgb="FF1E465A"/>
      <color rgb="FF00506C"/>
      <color rgb="FF006082"/>
      <color rgb="FF0070C0"/>
      <color rgb="FF2D556E"/>
      <color rgb="FF121923"/>
      <color rgb="FF192834"/>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diagonalUp="0" diagonalDown="0">
            <left/>
            <right/>
            <top/>
            <bottom/>
            <vertical/>
            <horizontal/>
          </border>
        </dxf>
        <dxf>
          <font>
            <color theme="0"/>
          </font>
          <fill>
            <patternFill patternType="solid">
              <fgColor rgb="FF0070C0"/>
              <bgColor rgb="FF0070C0"/>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diagonalUp="0" diagonalDown="0">
            <left/>
            <right/>
            <top/>
            <bottom/>
            <vertical/>
            <horizontal/>
          </border>
        </dxf>
        <dxf>
          <font>
            <color theme="0"/>
          </font>
          <fill>
            <patternFill patternType="solid">
              <fgColor rgb="FF0070C0"/>
              <bgColor rgb="FF0070C0"/>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MY STYLE">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 STYLE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1.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aredStrings" Target="sharedStrings.xml"/><Relationship Id="rId34" Type="http://schemas.openxmlformats.org/officeDocument/2006/relationships/customXml" Target="../customXml/item11.xml"/><Relationship Id="rId42" Type="http://schemas.microsoft.com/office/2006/relationships/vbaProject" Target="vbaProject.bin"/><Relationship Id="rId7" Type="http://schemas.openxmlformats.org/officeDocument/2006/relationships/pivotCacheDefinition" Target="pivotCache/pivotCacheDefinition5.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29" Type="http://schemas.openxmlformats.org/officeDocument/2006/relationships/customXml" Target="../customXml/item6.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pivotCacheDefinition" Target="pivotCache/pivotCacheDefinition4.xml"/><Relationship Id="rId11" Type="http://schemas.openxmlformats.org/officeDocument/2006/relationships/pivotCacheDefinition" Target="pivotCache/pivotCacheDefinition9.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pivotCacheDefinition" Target="pivotCache/pivotCacheDefinition3.xml"/><Relationship Id="rId15" Type="http://schemas.openxmlformats.org/officeDocument/2006/relationships/pivotCacheDefinition" Target="pivotCache/pivotCacheDefinition13.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8.xml"/><Relationship Id="rId19" Type="http://schemas.openxmlformats.org/officeDocument/2006/relationships/connections" Target="connections.xml"/><Relationship Id="rId31" Type="http://schemas.openxmlformats.org/officeDocument/2006/relationships/customXml" Target="../customXml/item8.xml"/><Relationship Id="rId4" Type="http://schemas.openxmlformats.org/officeDocument/2006/relationships/pivotCacheDefinition" Target="pivotCache/pivotCacheDefinition2.xml"/><Relationship Id="rId9" Type="http://schemas.openxmlformats.org/officeDocument/2006/relationships/pivotCacheDefinition" Target="pivotCache/pivotCacheDefinition7.xml"/><Relationship Id="rId14" Type="http://schemas.openxmlformats.org/officeDocument/2006/relationships/pivotCacheDefinition" Target="pivotCache/pivotCacheDefinition12.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8" Type="http://schemas.openxmlformats.org/officeDocument/2006/relationships/pivotCacheDefinition" Target="pivotCache/pivotCacheDefinition6.xml"/><Relationship Id="rId3" Type="http://schemas.openxmlformats.org/officeDocument/2006/relationships/pivotCacheDefinition" Target="pivotCache/pivotCacheDefinition1.xml"/><Relationship Id="rId12" Type="http://schemas.openxmlformats.org/officeDocument/2006/relationships/pivotCacheDefinition" Target="pivotCache/pivotCacheDefinition10.xml"/><Relationship Id="rId17" Type="http://schemas.microsoft.com/office/2007/relationships/slicerCache" Target="slicerCaches/slicerCache2.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Room.xlsm]Pivot Report!PivotTable7</c:name>
    <c:fmtId val="6"/>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Report'!$B$35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Report'!$A$36:$A$44</c:f>
              <c:strCache>
                <c:ptCount val="8"/>
                <c:pt idx="0">
                  <c:v>0-09</c:v>
                </c:pt>
                <c:pt idx="1">
                  <c:v>10-19</c:v>
                </c:pt>
                <c:pt idx="2">
                  <c:v>20-29</c:v>
                </c:pt>
                <c:pt idx="3">
                  <c:v>30-39</c:v>
                </c:pt>
                <c:pt idx="4">
                  <c:v>40-49</c:v>
                </c:pt>
                <c:pt idx="5">
                  <c:v>50-59</c:v>
                </c:pt>
                <c:pt idx="6">
                  <c:v>60-69</c:v>
                </c:pt>
                <c:pt idx="7">
                  <c:v>70-79</c:v>
                </c:pt>
              </c:strCache>
            </c:strRef>
          </c:cat>
          <c:val>
            <c:numRef>
              <c:f>'Pivot Report'!$B$36:$B$44</c:f>
              <c:numCache>
                <c:formatCode>0</c:formatCode>
                <c:ptCount val="8"/>
                <c:pt idx="0">
                  <c:v>76</c:v>
                </c:pt>
                <c:pt idx="1">
                  <c:v>69</c:v>
                </c:pt>
                <c:pt idx="2">
                  <c:v>64</c:v>
                </c:pt>
                <c:pt idx="3">
                  <c:v>59</c:v>
                </c:pt>
                <c:pt idx="4">
                  <c:v>58</c:v>
                </c:pt>
                <c:pt idx="5">
                  <c:v>66</c:v>
                </c:pt>
                <c:pt idx="6">
                  <c:v>67</c:v>
                </c:pt>
                <c:pt idx="7">
                  <c:v>54</c:v>
                </c:pt>
              </c:numCache>
            </c:numRef>
          </c:val>
          <c:extLst>
            <c:ext xmlns:c16="http://schemas.microsoft.com/office/drawing/2014/chart" uri="{C3380CC4-5D6E-409C-BE32-E72D297353CC}">
              <c16:uniqueId val="{00000000-EA4D-4505-8EA7-5AC1D11FF6AA}"/>
            </c:ext>
          </c:extLst>
        </c:ser>
        <c:dLbls>
          <c:showLegendKey val="0"/>
          <c:showVal val="0"/>
          <c:showCatName val="0"/>
          <c:showSerName val="0"/>
          <c:showPercent val="0"/>
          <c:showBubbleSize val="0"/>
        </c:dLbls>
        <c:gapWidth val="100"/>
        <c:overlap val="-24"/>
        <c:axId val="2018367632"/>
        <c:axId val="1702842576"/>
      </c:barChart>
      <c:catAx>
        <c:axId val="201836763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02842576"/>
        <c:crosses val="autoZero"/>
        <c:auto val="1"/>
        <c:lblAlgn val="ctr"/>
        <c:lblOffset val="100"/>
        <c:noMultiLvlLbl val="0"/>
      </c:catAx>
      <c:valAx>
        <c:axId val="17028425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83676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Room.xlsm]Pivot Report!PivotTable8</c:name>
    <c:fmtId val="24"/>
  </c:pivotSource>
  <c:chart>
    <c:autoTitleDeleted val="1"/>
    <c:pivotFmts>
      <c:pivotFmt>
        <c:idx val="0"/>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Report'!$G$35</c:f>
              <c:strCache>
                <c:ptCount val="1"/>
                <c:pt idx="0">
                  <c:v>Total</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Report'!$F$36:$F$44</c:f>
              <c:strCache>
                <c:ptCount val="8"/>
                <c:pt idx="0">
                  <c:v>Cardiology</c:v>
                </c:pt>
                <c:pt idx="1">
                  <c:v>Gastroenterology</c:v>
                </c:pt>
                <c:pt idx="2">
                  <c:v>General Practice</c:v>
                </c:pt>
                <c:pt idx="3">
                  <c:v>Neurology</c:v>
                </c:pt>
                <c:pt idx="4">
                  <c:v>None</c:v>
                </c:pt>
                <c:pt idx="5">
                  <c:v>Orthopedics</c:v>
                </c:pt>
                <c:pt idx="6">
                  <c:v>Physiotherapy</c:v>
                </c:pt>
                <c:pt idx="7">
                  <c:v>Renal</c:v>
                </c:pt>
              </c:strCache>
            </c:strRef>
          </c:cat>
          <c:val>
            <c:numRef>
              <c:f>'Pivot Report'!$G$36:$G$44</c:f>
              <c:numCache>
                <c:formatCode>0.00</c:formatCode>
                <c:ptCount val="8"/>
                <c:pt idx="0">
                  <c:v>31.357142857142858</c:v>
                </c:pt>
                <c:pt idx="1">
                  <c:v>36</c:v>
                </c:pt>
                <c:pt idx="2">
                  <c:v>33.223300970873787</c:v>
                </c:pt>
                <c:pt idx="3">
                  <c:v>37.666666666666664</c:v>
                </c:pt>
                <c:pt idx="4">
                  <c:v>36.8494983277592</c:v>
                </c:pt>
                <c:pt idx="5">
                  <c:v>39.153846153846153</c:v>
                </c:pt>
                <c:pt idx="6">
                  <c:v>38.071428571428569</c:v>
                </c:pt>
                <c:pt idx="7">
                  <c:v>38.799999999999997</c:v>
                </c:pt>
              </c:numCache>
            </c:numRef>
          </c:val>
          <c:extLst>
            <c:ext xmlns:c16="http://schemas.microsoft.com/office/drawing/2014/chart" uri="{C3380CC4-5D6E-409C-BE32-E72D297353CC}">
              <c16:uniqueId val="{00000000-BBA2-4295-95C3-0F70FF00F395}"/>
            </c:ext>
          </c:extLst>
        </c:ser>
        <c:dLbls>
          <c:showLegendKey val="0"/>
          <c:showVal val="0"/>
          <c:showCatName val="0"/>
          <c:showSerName val="0"/>
          <c:showPercent val="0"/>
          <c:showBubbleSize val="0"/>
        </c:dLbls>
        <c:gapWidth val="219"/>
        <c:overlap val="-27"/>
        <c:axId val="1753194304"/>
        <c:axId val="1702786896"/>
      </c:barChart>
      <c:catAx>
        <c:axId val="1753194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702786896"/>
        <c:crosses val="autoZero"/>
        <c:auto val="1"/>
        <c:lblAlgn val="ctr"/>
        <c:lblOffset val="100"/>
        <c:noMultiLvlLbl val="0"/>
      </c:catAx>
      <c:valAx>
        <c:axId val="1702786896"/>
        <c:scaling>
          <c:orientation val="minMax"/>
        </c:scaling>
        <c:delete val="0"/>
        <c:axPos val="l"/>
        <c:majorGridlines>
          <c:spPr>
            <a:ln w="9525" cap="flat" cmpd="sng" algn="ctr">
              <a:solidFill>
                <a:srgbClr val="1E465A"/>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753194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Room.xlsm]Pivot Report!PivotTable9</c:name>
    <c:fmtId val="28"/>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Report'!$G$47</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Report'!$F$48:$F$56</c:f>
              <c:strCache>
                <c:ptCount val="8"/>
                <c:pt idx="0">
                  <c:v>Gastroenterology</c:v>
                </c:pt>
                <c:pt idx="1">
                  <c:v>Renal</c:v>
                </c:pt>
                <c:pt idx="2">
                  <c:v>Neurology</c:v>
                </c:pt>
                <c:pt idx="3">
                  <c:v>Physiotherapy</c:v>
                </c:pt>
                <c:pt idx="4">
                  <c:v>Cardiology</c:v>
                </c:pt>
                <c:pt idx="5">
                  <c:v>Orthopedics</c:v>
                </c:pt>
                <c:pt idx="6">
                  <c:v>General Practice</c:v>
                </c:pt>
                <c:pt idx="7">
                  <c:v>None</c:v>
                </c:pt>
              </c:strCache>
            </c:strRef>
          </c:cat>
          <c:val>
            <c:numRef>
              <c:f>'Pivot Report'!$G$48:$G$56</c:f>
              <c:numCache>
                <c:formatCode>0</c:formatCode>
                <c:ptCount val="8"/>
                <c:pt idx="0">
                  <c:v>4</c:v>
                </c:pt>
                <c:pt idx="1">
                  <c:v>5</c:v>
                </c:pt>
                <c:pt idx="2">
                  <c:v>9</c:v>
                </c:pt>
                <c:pt idx="3">
                  <c:v>14</c:v>
                </c:pt>
                <c:pt idx="4">
                  <c:v>14</c:v>
                </c:pt>
                <c:pt idx="5">
                  <c:v>65</c:v>
                </c:pt>
                <c:pt idx="6">
                  <c:v>103</c:v>
                </c:pt>
                <c:pt idx="7">
                  <c:v>299</c:v>
                </c:pt>
              </c:numCache>
            </c:numRef>
          </c:val>
          <c:extLst>
            <c:ext xmlns:c16="http://schemas.microsoft.com/office/drawing/2014/chart" uri="{C3380CC4-5D6E-409C-BE32-E72D297353CC}">
              <c16:uniqueId val="{00000000-67C4-4671-805D-12AB539A98C4}"/>
            </c:ext>
          </c:extLst>
        </c:ser>
        <c:dLbls>
          <c:showLegendKey val="0"/>
          <c:showVal val="0"/>
          <c:showCatName val="0"/>
          <c:showSerName val="0"/>
          <c:showPercent val="0"/>
          <c:showBubbleSize val="0"/>
        </c:dLbls>
        <c:gapWidth val="18"/>
        <c:overlap val="-20"/>
        <c:axId val="2008185536"/>
        <c:axId val="1702825296"/>
      </c:barChart>
      <c:catAx>
        <c:axId val="200818553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702825296"/>
        <c:crosses val="autoZero"/>
        <c:auto val="1"/>
        <c:lblAlgn val="ctr"/>
        <c:lblOffset val="100"/>
        <c:noMultiLvlLbl val="0"/>
      </c:catAx>
      <c:valAx>
        <c:axId val="1702825296"/>
        <c:scaling>
          <c:orientation val="minMax"/>
        </c:scaling>
        <c:delete val="1"/>
        <c:axPos val="b"/>
        <c:numFmt formatCode="0" sourceLinked="1"/>
        <c:majorTickMark val="none"/>
        <c:minorTickMark val="none"/>
        <c:tickLblPos val="nextTo"/>
        <c:crossAx val="20081855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Room.xlsm]Pivot Report!PivotTable10</c:name>
    <c:fmtId val="3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6643133058123519"/>
          <c:y val="0.13585800359899547"/>
          <c:w val="0.53616867156763814"/>
          <c:h val="0.80584241026507331"/>
        </c:manualLayout>
      </c:layout>
      <c:doughnutChart>
        <c:varyColors val="1"/>
        <c:ser>
          <c:idx val="0"/>
          <c:order val="0"/>
          <c:tx>
            <c:strRef>
              <c:f>'Pivot Report'!$G$60</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Report'!$F$61:$F$63</c:f>
              <c:strCache>
                <c:ptCount val="2"/>
                <c:pt idx="0">
                  <c:v>Ontime</c:v>
                </c:pt>
                <c:pt idx="1">
                  <c:v>Delay</c:v>
                </c:pt>
              </c:strCache>
            </c:strRef>
          </c:cat>
          <c:val>
            <c:numRef>
              <c:f>'Pivot Report'!$G$61:$G$63</c:f>
              <c:numCache>
                <c:formatCode>0</c:formatCode>
                <c:ptCount val="2"/>
                <c:pt idx="0">
                  <c:v>197</c:v>
                </c:pt>
                <c:pt idx="1">
                  <c:v>316</c:v>
                </c:pt>
              </c:numCache>
            </c:numRef>
          </c:val>
          <c:extLst>
            <c:ext xmlns:c16="http://schemas.microsoft.com/office/drawing/2014/chart" uri="{C3380CC4-5D6E-409C-BE32-E72D297353CC}">
              <c16:uniqueId val="{00000004-7C57-48A4-97C1-6A2AC088DE1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11117368920644495"/>
          <c:y val="4.2254765414069299E-2"/>
          <c:w val="0.24928901577694698"/>
          <c:h val="0.32755640619955373"/>
        </c:manualLayout>
      </c:layout>
      <c:overlay val="0"/>
      <c:spPr>
        <a:noFill/>
        <a:ln>
          <a:noFill/>
        </a:ln>
        <a:effectLst/>
      </c:spPr>
      <c:txPr>
        <a:bodyPr rot="0" spcFirstLastPara="1" vertOverflow="ellipsis" vert="horz" wrap="square" anchor="ctr" anchorCtr="1"/>
        <a:lstStyle/>
        <a:p>
          <a:pPr>
            <a:defRPr sz="7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 Emergency Room.xlsm]Pivot Report!PivotTable11</c:name>
    <c:fmtId val="4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FF5B8F"/>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rgbClr val="FF5B8F"/>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rgbClr val="FF5B8F"/>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1997291518728487"/>
          <c:y val="0.1776359121806653"/>
          <c:w val="0.50501978144784565"/>
          <c:h val="0.58771386012978211"/>
        </c:manualLayout>
      </c:layout>
      <c:doughnutChart>
        <c:varyColors val="1"/>
        <c:ser>
          <c:idx val="0"/>
          <c:order val="0"/>
          <c:tx>
            <c:strRef>
              <c:f>'Pivot Report'!$G$67</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rgbClr val="FF5B8F"/>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Report'!$F$68:$F$70</c:f>
              <c:strCache>
                <c:ptCount val="2"/>
                <c:pt idx="0">
                  <c:v>Female</c:v>
                </c:pt>
                <c:pt idx="1">
                  <c:v>Male</c:v>
                </c:pt>
              </c:strCache>
            </c:strRef>
          </c:cat>
          <c:val>
            <c:numRef>
              <c:f>'Pivot Report'!$G$68:$G$70</c:f>
              <c:numCache>
                <c:formatCode>0</c:formatCode>
                <c:ptCount val="2"/>
                <c:pt idx="0">
                  <c:v>241</c:v>
                </c:pt>
                <c:pt idx="1">
                  <c:v>272</c:v>
                </c:pt>
              </c:numCache>
            </c:numRef>
          </c:val>
          <c:extLst>
            <c:ext xmlns:c16="http://schemas.microsoft.com/office/drawing/2014/chart" uri="{C3380CC4-5D6E-409C-BE32-E72D297353CC}">
              <c16:uniqueId val="{00000004-F0ED-4A02-AA1E-7425EB1D94C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10327350635546304"/>
          <c:y val="0.11496630565035335"/>
          <c:w val="0.24413623928868713"/>
          <c:h val="0.23515378444119042"/>
        </c:manualLayout>
      </c:layout>
      <c:overlay val="0"/>
      <c:spPr>
        <a:noFill/>
        <a:ln>
          <a:noFill/>
        </a:ln>
        <a:effectLst/>
      </c:spPr>
      <c:txPr>
        <a:bodyPr rot="0" spcFirstLastPara="1" vertOverflow="ellipsis" vert="horz" wrap="square" anchor="ctr" anchorCtr="1"/>
        <a:lstStyle/>
        <a:p>
          <a:pPr>
            <a:defRPr sz="700" b="1"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2.svg"/><Relationship Id="rId18" Type="http://schemas.openxmlformats.org/officeDocument/2006/relationships/chart" Target="../charts/chart4.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1.png"/><Relationship Id="rId17"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image" Target="../media/image14.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1.xml"/><Relationship Id="rId5" Type="http://schemas.openxmlformats.org/officeDocument/2006/relationships/image" Target="../media/image5.svg"/><Relationship Id="rId15" Type="http://schemas.openxmlformats.org/officeDocument/2006/relationships/image" Target="../media/image13.png"/><Relationship Id="rId10" Type="http://schemas.openxmlformats.org/officeDocument/2006/relationships/image" Target="../media/image10.svg"/><Relationship Id="rId19"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absolute">
    <xdr:from>
      <xdr:col>0</xdr:col>
      <xdr:colOff>83820</xdr:colOff>
      <xdr:row>0</xdr:row>
      <xdr:rowOff>60960</xdr:rowOff>
    </xdr:from>
    <xdr:to>
      <xdr:col>6</xdr:col>
      <xdr:colOff>586740</xdr:colOff>
      <xdr:row>3</xdr:row>
      <xdr:rowOff>144162</xdr:rowOff>
    </xdr:to>
    <xdr:sp macro="" textlink="">
      <xdr:nvSpPr>
        <xdr:cNvPr id="2" name="Rectangle: Rounded Corners 1">
          <a:extLst>
            <a:ext uri="{FF2B5EF4-FFF2-40B4-BE49-F238E27FC236}">
              <a16:creationId xmlns:a16="http://schemas.microsoft.com/office/drawing/2014/main" id="{8E8A6F48-296D-F172-2A56-310833828A4F}"/>
            </a:ext>
          </a:extLst>
        </xdr:cNvPr>
        <xdr:cNvSpPr/>
      </xdr:nvSpPr>
      <xdr:spPr>
        <a:xfrm>
          <a:off x="83820" y="60960"/>
          <a:ext cx="4172552" cy="624623"/>
        </a:xfrm>
        <a:prstGeom prst="roundRect">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66263</xdr:colOff>
      <xdr:row>4</xdr:row>
      <xdr:rowOff>83820</xdr:rowOff>
    </xdr:from>
    <xdr:to>
      <xdr:col>1</xdr:col>
      <xdr:colOff>167641</xdr:colOff>
      <xdr:row>26</xdr:row>
      <xdr:rowOff>38100</xdr:rowOff>
    </xdr:to>
    <xdr:sp macro="" textlink="">
      <xdr:nvSpPr>
        <xdr:cNvPr id="3" name="Rectangle: Rounded Corners 2">
          <a:extLst>
            <a:ext uri="{FF2B5EF4-FFF2-40B4-BE49-F238E27FC236}">
              <a16:creationId xmlns:a16="http://schemas.microsoft.com/office/drawing/2014/main" id="{37007876-7640-B9C9-3C57-AF0392966B05}"/>
            </a:ext>
          </a:extLst>
        </xdr:cNvPr>
        <xdr:cNvSpPr/>
      </xdr:nvSpPr>
      <xdr:spPr>
        <a:xfrm>
          <a:off x="66263" y="815340"/>
          <a:ext cx="710978" cy="4053840"/>
        </a:xfrm>
        <a:prstGeom prst="roundRect">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274594</xdr:colOff>
      <xdr:row>4</xdr:row>
      <xdr:rowOff>34326</xdr:rowOff>
    </xdr:from>
    <xdr:to>
      <xdr:col>3</xdr:col>
      <xdr:colOff>418756</xdr:colOff>
      <xdr:row>8</xdr:row>
      <xdr:rowOff>6866</xdr:rowOff>
    </xdr:to>
    <xdr:sp macro="" textlink="">
      <xdr:nvSpPr>
        <xdr:cNvPr id="4" name="Rectangle: Rounded Corners 3">
          <a:extLst>
            <a:ext uri="{FF2B5EF4-FFF2-40B4-BE49-F238E27FC236}">
              <a16:creationId xmlns:a16="http://schemas.microsoft.com/office/drawing/2014/main" id="{2BF9543A-B5FA-CC6B-6982-D91F04108ADA}"/>
            </a:ext>
          </a:extLst>
        </xdr:cNvPr>
        <xdr:cNvSpPr/>
      </xdr:nvSpPr>
      <xdr:spPr>
        <a:xfrm>
          <a:off x="883606" y="763963"/>
          <a:ext cx="1362185" cy="702177"/>
        </a:xfrm>
        <a:prstGeom prst="roundRect">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473675</xdr:colOff>
      <xdr:row>4</xdr:row>
      <xdr:rowOff>34326</xdr:rowOff>
    </xdr:from>
    <xdr:to>
      <xdr:col>6</xdr:col>
      <xdr:colOff>6864</xdr:colOff>
      <xdr:row>8</xdr:row>
      <xdr:rowOff>6866</xdr:rowOff>
    </xdr:to>
    <xdr:sp macro="" textlink="">
      <xdr:nvSpPr>
        <xdr:cNvPr id="5" name="Rectangle: Rounded Corners 4">
          <a:extLst>
            <a:ext uri="{FF2B5EF4-FFF2-40B4-BE49-F238E27FC236}">
              <a16:creationId xmlns:a16="http://schemas.microsoft.com/office/drawing/2014/main" id="{88D4C4B5-BD26-BE4D-A454-587C6100B802}"/>
            </a:ext>
          </a:extLst>
        </xdr:cNvPr>
        <xdr:cNvSpPr/>
      </xdr:nvSpPr>
      <xdr:spPr>
        <a:xfrm>
          <a:off x="2300710" y="763963"/>
          <a:ext cx="1360223" cy="702177"/>
        </a:xfrm>
        <a:prstGeom prst="roundRect">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6</xdr:col>
      <xdr:colOff>54918</xdr:colOff>
      <xdr:row>4</xdr:row>
      <xdr:rowOff>34326</xdr:rowOff>
    </xdr:from>
    <xdr:to>
      <xdr:col>8</xdr:col>
      <xdr:colOff>199080</xdr:colOff>
      <xdr:row>8</xdr:row>
      <xdr:rowOff>6866</xdr:rowOff>
    </xdr:to>
    <xdr:sp macro="" textlink="">
      <xdr:nvSpPr>
        <xdr:cNvPr id="6" name="Rectangle: Rounded Corners 5">
          <a:extLst>
            <a:ext uri="{FF2B5EF4-FFF2-40B4-BE49-F238E27FC236}">
              <a16:creationId xmlns:a16="http://schemas.microsoft.com/office/drawing/2014/main" id="{42B88697-71BA-2FB5-BD95-27375499E421}"/>
            </a:ext>
          </a:extLst>
        </xdr:cNvPr>
        <xdr:cNvSpPr/>
      </xdr:nvSpPr>
      <xdr:spPr>
        <a:xfrm>
          <a:off x="3707548" y="763196"/>
          <a:ext cx="1361706" cy="701409"/>
        </a:xfrm>
        <a:prstGeom prst="roundRect">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41189</xdr:colOff>
      <xdr:row>0</xdr:row>
      <xdr:rowOff>60960</xdr:rowOff>
    </xdr:from>
    <xdr:to>
      <xdr:col>9</xdr:col>
      <xdr:colOff>34324</xdr:colOff>
      <xdr:row>3</xdr:row>
      <xdr:rowOff>144162</xdr:rowOff>
    </xdr:to>
    <xdr:sp macro="" textlink="">
      <xdr:nvSpPr>
        <xdr:cNvPr id="7" name="Rectangle: Rounded Corners 6">
          <a:extLst>
            <a:ext uri="{FF2B5EF4-FFF2-40B4-BE49-F238E27FC236}">
              <a16:creationId xmlns:a16="http://schemas.microsoft.com/office/drawing/2014/main" id="{A7545934-3389-5A57-154B-39B97FE2782E}"/>
            </a:ext>
          </a:extLst>
        </xdr:cNvPr>
        <xdr:cNvSpPr/>
      </xdr:nvSpPr>
      <xdr:spPr>
        <a:xfrm>
          <a:off x="4293973" y="60960"/>
          <a:ext cx="1208216" cy="639256"/>
        </a:xfrm>
        <a:prstGeom prst="roundRect">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274594</xdr:colOff>
      <xdr:row>8</xdr:row>
      <xdr:rowOff>79150</xdr:rowOff>
    </xdr:from>
    <xdr:to>
      <xdr:col>8</xdr:col>
      <xdr:colOff>216647</xdr:colOff>
      <xdr:row>13</xdr:row>
      <xdr:rowOff>9645</xdr:rowOff>
    </xdr:to>
    <xdr:sp macro="" textlink="">
      <xdr:nvSpPr>
        <xdr:cNvPr id="9" name="Rectangle: Rounded Corners 8">
          <a:extLst>
            <a:ext uri="{FF2B5EF4-FFF2-40B4-BE49-F238E27FC236}">
              <a16:creationId xmlns:a16="http://schemas.microsoft.com/office/drawing/2014/main" id="{C5398585-CEA0-753E-1780-486D0357C95E}"/>
            </a:ext>
          </a:extLst>
        </xdr:cNvPr>
        <xdr:cNvSpPr/>
      </xdr:nvSpPr>
      <xdr:spPr>
        <a:xfrm>
          <a:off x="884952" y="1534911"/>
          <a:ext cx="4214561" cy="840346"/>
        </a:xfrm>
        <a:prstGeom prst="roundRect">
          <a:avLst>
            <a:gd name="adj" fmla="val 0"/>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274594</xdr:colOff>
      <xdr:row>13</xdr:row>
      <xdr:rowOff>67519</xdr:rowOff>
    </xdr:from>
    <xdr:to>
      <xdr:col>8</xdr:col>
      <xdr:colOff>216647</xdr:colOff>
      <xdr:row>20</xdr:row>
      <xdr:rowOff>7620</xdr:rowOff>
    </xdr:to>
    <xdr:sp macro="" textlink="">
      <xdr:nvSpPr>
        <xdr:cNvPr id="10" name="Rectangle: Rounded Corners 9">
          <a:extLst>
            <a:ext uri="{FF2B5EF4-FFF2-40B4-BE49-F238E27FC236}">
              <a16:creationId xmlns:a16="http://schemas.microsoft.com/office/drawing/2014/main" id="{9C503CD6-DA5F-73CF-87E1-4B7345F1DC11}"/>
            </a:ext>
          </a:extLst>
        </xdr:cNvPr>
        <xdr:cNvSpPr/>
      </xdr:nvSpPr>
      <xdr:spPr>
        <a:xfrm>
          <a:off x="884194" y="2444959"/>
          <a:ext cx="4209253" cy="1281221"/>
        </a:xfrm>
        <a:prstGeom prst="roundRect">
          <a:avLst>
            <a:gd name="adj" fmla="val 5767"/>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264094</xdr:colOff>
      <xdr:row>4</xdr:row>
      <xdr:rowOff>34326</xdr:rowOff>
    </xdr:from>
    <xdr:to>
      <xdr:col>11</xdr:col>
      <xdr:colOff>127000</xdr:colOff>
      <xdr:row>10</xdr:row>
      <xdr:rowOff>134471</xdr:rowOff>
    </xdr:to>
    <xdr:sp macro="" textlink="">
      <xdr:nvSpPr>
        <xdr:cNvPr id="11" name="Rectangle: Rounded Corners 10">
          <a:extLst>
            <a:ext uri="{FF2B5EF4-FFF2-40B4-BE49-F238E27FC236}">
              <a16:creationId xmlns:a16="http://schemas.microsoft.com/office/drawing/2014/main" id="{7D2F6C17-9AEA-655D-079E-AAE519C7E4FB}"/>
            </a:ext>
          </a:extLst>
        </xdr:cNvPr>
        <xdr:cNvSpPr/>
      </xdr:nvSpPr>
      <xdr:spPr>
        <a:xfrm>
          <a:off x="5140894" y="761913"/>
          <a:ext cx="1691706" cy="1191526"/>
        </a:xfrm>
        <a:prstGeom prst="roundRect">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11</xdr:col>
      <xdr:colOff>166976</xdr:colOff>
      <xdr:row>4</xdr:row>
      <xdr:rowOff>34326</xdr:rowOff>
    </xdr:from>
    <xdr:to>
      <xdr:col>14</xdr:col>
      <xdr:colOff>29883</xdr:colOff>
      <xdr:row>10</xdr:row>
      <xdr:rowOff>134471</xdr:rowOff>
    </xdr:to>
    <xdr:sp macro="" textlink="">
      <xdr:nvSpPr>
        <xdr:cNvPr id="13" name="Rectangle: Rounded Corners 12">
          <a:extLst>
            <a:ext uri="{FF2B5EF4-FFF2-40B4-BE49-F238E27FC236}">
              <a16:creationId xmlns:a16="http://schemas.microsoft.com/office/drawing/2014/main" id="{087DEDBC-8674-5C15-44E8-0E85B06B0E0B}"/>
            </a:ext>
          </a:extLst>
        </xdr:cNvPr>
        <xdr:cNvSpPr/>
      </xdr:nvSpPr>
      <xdr:spPr>
        <a:xfrm>
          <a:off x="6883322" y="757249"/>
          <a:ext cx="1694638" cy="1184530"/>
        </a:xfrm>
        <a:prstGeom prst="roundRect">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8</xdr:col>
      <xdr:colOff>264094</xdr:colOff>
      <xdr:row>11</xdr:row>
      <xdr:rowOff>53616</xdr:rowOff>
    </xdr:from>
    <xdr:to>
      <xdr:col>14</xdr:col>
      <xdr:colOff>19292</xdr:colOff>
      <xdr:row>20</xdr:row>
      <xdr:rowOff>787</xdr:rowOff>
    </xdr:to>
    <xdr:sp macro="" textlink="">
      <xdr:nvSpPr>
        <xdr:cNvPr id="14" name="Rectangle: Rounded Corners 13">
          <a:extLst>
            <a:ext uri="{FF2B5EF4-FFF2-40B4-BE49-F238E27FC236}">
              <a16:creationId xmlns:a16="http://schemas.microsoft.com/office/drawing/2014/main" id="{BB125996-622E-5746-5508-8C2EC2C914D0}"/>
            </a:ext>
          </a:extLst>
        </xdr:cNvPr>
        <xdr:cNvSpPr/>
      </xdr:nvSpPr>
      <xdr:spPr>
        <a:xfrm>
          <a:off x="5164800" y="2025851"/>
          <a:ext cx="3430727" cy="1628054"/>
        </a:xfrm>
        <a:prstGeom prst="roundRect">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274593</xdr:colOff>
      <xdr:row>20</xdr:row>
      <xdr:rowOff>45433</xdr:rowOff>
    </xdr:from>
    <xdr:to>
      <xdr:col>14</xdr:col>
      <xdr:colOff>11043</xdr:colOff>
      <xdr:row>27</xdr:row>
      <xdr:rowOff>143566</xdr:rowOff>
    </xdr:to>
    <xdr:sp macro="" textlink="">
      <xdr:nvSpPr>
        <xdr:cNvPr id="22" name="Rectangle: Rounded Corners 21">
          <a:extLst>
            <a:ext uri="{FF2B5EF4-FFF2-40B4-BE49-F238E27FC236}">
              <a16:creationId xmlns:a16="http://schemas.microsoft.com/office/drawing/2014/main" id="{9EB36D45-6690-5AD9-DEEC-0D2703D9D20E}"/>
            </a:ext>
          </a:extLst>
        </xdr:cNvPr>
        <xdr:cNvSpPr/>
      </xdr:nvSpPr>
      <xdr:spPr>
        <a:xfrm>
          <a:off x="886593" y="3711433"/>
          <a:ext cx="7692450" cy="1376133"/>
        </a:xfrm>
        <a:prstGeom prst="roundRect">
          <a:avLst>
            <a:gd name="adj" fmla="val 6203"/>
          </a:avLst>
        </a:prstGeom>
        <a:solidFill>
          <a:srgbClr val="0F1B28"/>
        </a:solidFill>
        <a:ln w="9525">
          <a:solidFill>
            <a:srgbClr val="00B0F0"/>
          </a:solidFill>
        </a:ln>
        <a:effectLst>
          <a:glow rad="12700">
            <a:srgbClr val="00B0F0">
              <a:alpha val="60000"/>
            </a:srgbClr>
          </a:glo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320261</xdr:colOff>
      <xdr:row>0</xdr:row>
      <xdr:rowOff>150395</xdr:rowOff>
    </xdr:from>
    <xdr:to>
      <xdr:col>6</xdr:col>
      <xdr:colOff>521368</xdr:colOff>
      <xdr:row>2</xdr:row>
      <xdr:rowOff>40105</xdr:rowOff>
    </xdr:to>
    <xdr:sp macro="" textlink="">
      <xdr:nvSpPr>
        <xdr:cNvPr id="26" name="TextBox 25">
          <a:extLst>
            <a:ext uri="{FF2B5EF4-FFF2-40B4-BE49-F238E27FC236}">
              <a16:creationId xmlns:a16="http://schemas.microsoft.com/office/drawing/2014/main" id="{5A2C3141-59CD-6BCB-56AB-FF2FA6ED919A}"/>
            </a:ext>
          </a:extLst>
        </xdr:cNvPr>
        <xdr:cNvSpPr txBox="1"/>
      </xdr:nvSpPr>
      <xdr:spPr>
        <a:xfrm>
          <a:off x="927652" y="150395"/>
          <a:ext cx="3238064" cy="254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400" b="1">
              <a:solidFill>
                <a:schemeClr val="bg1"/>
              </a:solidFill>
            </a:rPr>
            <a:t>HOSPITAL</a:t>
          </a:r>
          <a:r>
            <a:rPr lang="en-IN" sz="1400" b="1" baseline="0">
              <a:solidFill>
                <a:schemeClr val="bg1"/>
              </a:solidFill>
            </a:rPr>
            <a:t> </a:t>
          </a:r>
          <a:r>
            <a:rPr lang="en-IN" sz="1400" b="1" baseline="0">
              <a:solidFill>
                <a:srgbClr val="0070C0"/>
              </a:solidFill>
            </a:rPr>
            <a:t>EMERGENCY ROOM </a:t>
          </a:r>
          <a:r>
            <a:rPr lang="en-IN" sz="1400" b="1" baseline="0">
              <a:solidFill>
                <a:schemeClr val="bg1"/>
              </a:solidFill>
            </a:rPr>
            <a:t>DASHBOARD</a:t>
          </a:r>
          <a:endParaRPr lang="en-IN" sz="1400" b="1">
            <a:solidFill>
              <a:schemeClr val="bg1"/>
            </a:solidFill>
          </a:endParaRPr>
        </a:p>
      </xdr:txBody>
    </xdr:sp>
    <xdr:clientData/>
  </xdr:twoCellAnchor>
  <xdr:twoCellAnchor editAs="oneCell">
    <xdr:from>
      <xdr:col>0</xdr:col>
      <xdr:colOff>127438</xdr:colOff>
      <xdr:row>0</xdr:row>
      <xdr:rowOff>33131</xdr:rowOff>
    </xdr:from>
    <xdr:to>
      <xdr:col>1</xdr:col>
      <xdr:colOff>325783</xdr:colOff>
      <xdr:row>3</xdr:row>
      <xdr:rowOff>112615</xdr:rowOff>
    </xdr:to>
    <xdr:pic>
      <xdr:nvPicPr>
        <xdr:cNvPr id="30" name="Picture 29">
          <a:extLst>
            <a:ext uri="{FF2B5EF4-FFF2-40B4-BE49-F238E27FC236}">
              <a16:creationId xmlns:a16="http://schemas.microsoft.com/office/drawing/2014/main" id="{9636964C-CA70-974C-D4FA-28A7919F904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438" y="33131"/>
          <a:ext cx="805736" cy="626136"/>
        </a:xfrm>
        <a:prstGeom prst="rect">
          <a:avLst/>
        </a:prstGeom>
      </xdr:spPr>
    </xdr:pic>
    <xdr:clientData/>
  </xdr:twoCellAnchor>
  <xdr:twoCellAnchor editAs="absolute">
    <xdr:from>
      <xdr:col>1</xdr:col>
      <xdr:colOff>360323</xdr:colOff>
      <xdr:row>2</xdr:row>
      <xdr:rowOff>6270</xdr:rowOff>
    </xdr:from>
    <xdr:to>
      <xdr:col>3</xdr:col>
      <xdr:colOff>116372</xdr:colOff>
      <xdr:row>2</xdr:row>
      <xdr:rowOff>173043</xdr:rowOff>
    </xdr:to>
    <xdr:sp macro="" textlink="">
      <xdr:nvSpPr>
        <xdr:cNvPr id="33" name="TextBox 32">
          <a:extLst>
            <a:ext uri="{FF2B5EF4-FFF2-40B4-BE49-F238E27FC236}">
              <a16:creationId xmlns:a16="http://schemas.microsoft.com/office/drawing/2014/main" id="{B50EC6A5-4862-4A35-AA5E-EC42A8966F94}"/>
            </a:ext>
          </a:extLst>
        </xdr:cNvPr>
        <xdr:cNvSpPr txBox="1"/>
      </xdr:nvSpPr>
      <xdr:spPr>
        <a:xfrm>
          <a:off x="967631" y="372947"/>
          <a:ext cx="970666" cy="166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100" b="0">
              <a:solidFill>
                <a:schemeClr val="bg1"/>
              </a:solidFill>
            </a:rPr>
            <a:t>Monthly</a:t>
          </a:r>
          <a:r>
            <a:rPr lang="en-IN" sz="1100" b="0" baseline="0">
              <a:solidFill>
                <a:schemeClr val="bg1"/>
              </a:solidFill>
            </a:rPr>
            <a:t> Report</a:t>
          </a:r>
          <a:endParaRPr lang="en-IN" sz="1100" b="0">
            <a:solidFill>
              <a:schemeClr val="bg1"/>
            </a:solidFill>
          </a:endParaRPr>
        </a:p>
      </xdr:txBody>
    </xdr:sp>
    <xdr:clientData/>
  </xdr:twoCellAnchor>
  <xdr:twoCellAnchor editAs="absolute">
    <xdr:from>
      <xdr:col>2</xdr:col>
      <xdr:colOff>196568</xdr:colOff>
      <xdr:row>4</xdr:row>
      <xdr:rowOff>134370</xdr:rowOff>
    </xdr:from>
    <xdr:to>
      <xdr:col>3</xdr:col>
      <xdr:colOff>320467</xdr:colOff>
      <xdr:row>5</xdr:row>
      <xdr:rowOff>71215</xdr:rowOff>
    </xdr:to>
    <xdr:sp macro="" textlink="">
      <xdr:nvSpPr>
        <xdr:cNvPr id="34" name="TextBox 33">
          <a:extLst>
            <a:ext uri="{FF2B5EF4-FFF2-40B4-BE49-F238E27FC236}">
              <a16:creationId xmlns:a16="http://schemas.microsoft.com/office/drawing/2014/main" id="{65FAFBA0-9F22-C3AD-753C-4D06EAA99213}"/>
            </a:ext>
          </a:extLst>
        </xdr:cNvPr>
        <xdr:cNvSpPr txBox="1"/>
      </xdr:nvSpPr>
      <xdr:spPr>
        <a:xfrm>
          <a:off x="1421465" y="875006"/>
          <a:ext cx="736348" cy="122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800" b="1">
              <a:solidFill>
                <a:schemeClr val="bg1"/>
              </a:solidFill>
            </a:rPr>
            <a:t>No.</a:t>
          </a:r>
          <a:r>
            <a:rPr lang="en-IN" sz="800" b="1" baseline="0">
              <a:solidFill>
                <a:schemeClr val="bg1"/>
              </a:solidFill>
            </a:rPr>
            <a:t> Of Patients</a:t>
          </a:r>
          <a:endParaRPr lang="en-IN" sz="800" b="1">
            <a:solidFill>
              <a:schemeClr val="bg1"/>
            </a:solidFill>
          </a:endParaRPr>
        </a:p>
      </xdr:txBody>
    </xdr:sp>
    <xdr:clientData/>
  </xdr:twoCellAnchor>
  <xdr:twoCellAnchor editAs="absolute">
    <xdr:from>
      <xdr:col>2</xdr:col>
      <xdr:colOff>286548</xdr:colOff>
      <xdr:row>5</xdr:row>
      <xdr:rowOff>79119</xdr:rowOff>
    </xdr:from>
    <xdr:to>
      <xdr:col>3</xdr:col>
      <xdr:colOff>30850</xdr:colOff>
      <xdr:row>6</xdr:row>
      <xdr:rowOff>109787</xdr:rowOff>
    </xdr:to>
    <xdr:sp macro="" textlink="'Pivot Report'!A5">
      <xdr:nvSpPr>
        <xdr:cNvPr id="35" name="TextBox 34">
          <a:extLst>
            <a:ext uri="{FF2B5EF4-FFF2-40B4-BE49-F238E27FC236}">
              <a16:creationId xmlns:a16="http://schemas.microsoft.com/office/drawing/2014/main" id="{7FBE560E-5DA1-EFD1-EC4D-0BC5968DD3D1}"/>
            </a:ext>
          </a:extLst>
        </xdr:cNvPr>
        <xdr:cNvSpPr txBox="1"/>
      </xdr:nvSpPr>
      <xdr:spPr>
        <a:xfrm>
          <a:off x="1510548" y="979119"/>
          <a:ext cx="356302" cy="210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695283D4-5C4D-414F-B4EF-1394950919C5}" type="TxLink">
            <a:rPr lang="en-US" sz="1200" b="1" i="0" u="none" strike="noStrike">
              <a:solidFill>
                <a:schemeClr val="bg1"/>
              </a:solidFill>
              <a:latin typeface="Calibri"/>
              <a:ea typeface="Calibri"/>
              <a:cs typeface="Calibri"/>
            </a:rPr>
            <a:pPr/>
            <a:t>513</a:t>
          </a:fld>
          <a:endParaRPr lang="en-IN" sz="1200" b="1">
            <a:solidFill>
              <a:schemeClr val="bg1"/>
            </a:solidFill>
          </a:endParaRPr>
        </a:p>
      </xdr:txBody>
    </xdr:sp>
    <xdr:clientData/>
  </xdr:twoCellAnchor>
  <xdr:twoCellAnchor editAs="absolute">
    <xdr:from>
      <xdr:col>6</xdr:col>
      <xdr:colOff>454202</xdr:colOff>
      <xdr:row>4</xdr:row>
      <xdr:rowOff>133980</xdr:rowOff>
    </xdr:from>
    <xdr:to>
      <xdr:col>8</xdr:col>
      <xdr:colOff>209248</xdr:colOff>
      <xdr:row>5</xdr:row>
      <xdr:rowOff>69630</xdr:rowOff>
    </xdr:to>
    <xdr:sp macro="" textlink="">
      <xdr:nvSpPr>
        <xdr:cNvPr id="37" name="TextBox 36">
          <a:extLst>
            <a:ext uri="{FF2B5EF4-FFF2-40B4-BE49-F238E27FC236}">
              <a16:creationId xmlns:a16="http://schemas.microsoft.com/office/drawing/2014/main" id="{46D38CE6-4A09-6E6C-3AC1-274B7D398733}"/>
            </a:ext>
          </a:extLst>
        </xdr:cNvPr>
        <xdr:cNvSpPr txBox="1"/>
      </xdr:nvSpPr>
      <xdr:spPr>
        <a:xfrm>
          <a:off x="4117310" y="868438"/>
          <a:ext cx="976083" cy="119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700" b="1">
              <a:solidFill>
                <a:schemeClr val="bg1"/>
              </a:solidFill>
            </a:rPr>
            <a:t>Patient Satisfaction</a:t>
          </a:r>
          <a:r>
            <a:rPr lang="en-IN" sz="700" b="1" baseline="0">
              <a:solidFill>
                <a:schemeClr val="bg1"/>
              </a:solidFill>
            </a:rPr>
            <a:t> Score</a:t>
          </a:r>
          <a:endParaRPr lang="en-IN" sz="700" b="1">
            <a:solidFill>
              <a:schemeClr val="bg1"/>
            </a:solidFill>
          </a:endParaRPr>
        </a:p>
      </xdr:txBody>
    </xdr:sp>
    <xdr:clientData/>
  </xdr:twoCellAnchor>
  <xdr:twoCellAnchor editAs="absolute">
    <xdr:from>
      <xdr:col>7</xdr:col>
      <xdr:colOff>83631</xdr:colOff>
      <xdr:row>5</xdr:row>
      <xdr:rowOff>74555</xdr:rowOff>
    </xdr:from>
    <xdr:to>
      <xdr:col>7</xdr:col>
      <xdr:colOff>410627</xdr:colOff>
      <xdr:row>6</xdr:row>
      <xdr:rowOff>83262</xdr:rowOff>
    </xdr:to>
    <xdr:sp macro="" textlink="'Pivot Report'!A13">
      <xdr:nvSpPr>
        <xdr:cNvPr id="38" name="TextBox 37">
          <a:extLst>
            <a:ext uri="{FF2B5EF4-FFF2-40B4-BE49-F238E27FC236}">
              <a16:creationId xmlns:a16="http://schemas.microsoft.com/office/drawing/2014/main" id="{5E9AD391-CC6E-5BB4-7539-FA780962A2D0}"/>
            </a:ext>
          </a:extLst>
        </xdr:cNvPr>
        <xdr:cNvSpPr txBox="1"/>
      </xdr:nvSpPr>
      <xdr:spPr>
        <a:xfrm>
          <a:off x="4346712" y="986601"/>
          <a:ext cx="326996" cy="1911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41EFF1CD-E62A-4F4B-99E7-CA4496095045}" type="TxLink">
            <a:rPr lang="en-US" sz="1200" b="1" i="0" u="none" strike="noStrike">
              <a:solidFill>
                <a:schemeClr val="bg1"/>
              </a:solidFill>
              <a:latin typeface="Calibri"/>
              <a:ea typeface="Calibri"/>
              <a:cs typeface="Calibri"/>
            </a:rPr>
            <a:pPr/>
            <a:t>4.96</a:t>
          </a:fld>
          <a:endParaRPr lang="en-IN" sz="1200" b="1">
            <a:solidFill>
              <a:schemeClr val="bg1"/>
            </a:solidFill>
          </a:endParaRPr>
        </a:p>
      </xdr:txBody>
    </xdr:sp>
    <xdr:clientData/>
  </xdr:twoCellAnchor>
  <xdr:twoCellAnchor editAs="absolute">
    <xdr:from>
      <xdr:col>4</xdr:col>
      <xdr:colOff>483776</xdr:colOff>
      <xdr:row>5</xdr:row>
      <xdr:rowOff>47035</xdr:rowOff>
    </xdr:from>
    <xdr:to>
      <xdr:col>5</xdr:col>
      <xdr:colOff>245167</xdr:colOff>
      <xdr:row>6</xdr:row>
      <xdr:rowOff>54767</xdr:rowOff>
    </xdr:to>
    <xdr:sp macro="" textlink="'Pivot Report'!A9">
      <xdr:nvSpPr>
        <xdr:cNvPr id="39" name="TextBox 38">
          <a:extLst>
            <a:ext uri="{FF2B5EF4-FFF2-40B4-BE49-F238E27FC236}">
              <a16:creationId xmlns:a16="http://schemas.microsoft.com/office/drawing/2014/main" id="{C7691A0A-5A6C-66B3-5667-07CA84C1CE51}"/>
            </a:ext>
          </a:extLst>
        </xdr:cNvPr>
        <xdr:cNvSpPr txBox="1"/>
      </xdr:nvSpPr>
      <xdr:spPr>
        <a:xfrm>
          <a:off x="2931776" y="947035"/>
          <a:ext cx="373391" cy="187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43C4F5C3-6A42-49F2-8B8C-A1A957AC5FC5}" type="TxLink">
            <a:rPr lang="en-US" sz="1200" b="1" i="0" u="none" strike="noStrike">
              <a:solidFill>
                <a:schemeClr val="bg1"/>
              </a:solidFill>
              <a:latin typeface="Calibri"/>
              <a:ea typeface="Calibri"/>
              <a:cs typeface="Calibri"/>
            </a:rPr>
            <a:pPr/>
            <a:t>36.32</a:t>
          </a:fld>
          <a:endParaRPr lang="en-IN" sz="1200" b="1">
            <a:solidFill>
              <a:schemeClr val="bg1"/>
            </a:solidFill>
          </a:endParaRPr>
        </a:p>
      </xdr:txBody>
    </xdr:sp>
    <xdr:clientData/>
  </xdr:twoCellAnchor>
  <xdr:twoCellAnchor>
    <xdr:from>
      <xdr:col>1</xdr:col>
      <xdr:colOff>321129</xdr:colOff>
      <xdr:row>4</xdr:row>
      <xdr:rowOff>117738</xdr:rowOff>
    </xdr:from>
    <xdr:to>
      <xdr:col>2</xdr:col>
      <xdr:colOff>42041</xdr:colOff>
      <xdr:row>6</xdr:row>
      <xdr:rowOff>57807</xdr:rowOff>
    </xdr:to>
    <xdr:sp macro="" textlink="">
      <xdr:nvSpPr>
        <xdr:cNvPr id="46" name="Oval 45">
          <a:extLst>
            <a:ext uri="{FF2B5EF4-FFF2-40B4-BE49-F238E27FC236}">
              <a16:creationId xmlns:a16="http://schemas.microsoft.com/office/drawing/2014/main" id="{6235C48C-83D5-1B14-2DE4-1FF6C39BABAF}"/>
            </a:ext>
          </a:extLst>
        </xdr:cNvPr>
        <xdr:cNvSpPr/>
      </xdr:nvSpPr>
      <xdr:spPr>
        <a:xfrm>
          <a:off x="930729" y="853462"/>
          <a:ext cx="330512" cy="307931"/>
        </a:xfrm>
        <a:prstGeom prst="ellipse">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321206</xdr:colOff>
      <xdr:row>4</xdr:row>
      <xdr:rowOff>132270</xdr:rowOff>
    </xdr:from>
    <xdr:to>
      <xdr:col>2</xdr:col>
      <xdr:colOff>29929</xdr:colOff>
      <xdr:row>6</xdr:row>
      <xdr:rowOff>6907</xdr:rowOff>
    </xdr:to>
    <xdr:grpSp>
      <xdr:nvGrpSpPr>
        <xdr:cNvPr id="19" name="Group 18">
          <a:extLst>
            <a:ext uri="{FF2B5EF4-FFF2-40B4-BE49-F238E27FC236}">
              <a16:creationId xmlns:a16="http://schemas.microsoft.com/office/drawing/2014/main" id="{EA3B8F82-B7BC-B785-6564-3ADCC0D88184}"/>
            </a:ext>
          </a:extLst>
        </xdr:cNvPr>
        <xdr:cNvGrpSpPr/>
      </xdr:nvGrpSpPr>
      <xdr:grpSpPr>
        <a:xfrm>
          <a:off x="932578" y="876549"/>
          <a:ext cx="320095" cy="246777"/>
          <a:chOff x="885222" y="880457"/>
          <a:chExt cx="497765" cy="367477"/>
        </a:xfrm>
      </xdr:grpSpPr>
      <xdr:pic>
        <xdr:nvPicPr>
          <xdr:cNvPr id="47" name="Graphic 46" descr="User with solid fill">
            <a:extLst>
              <a:ext uri="{FF2B5EF4-FFF2-40B4-BE49-F238E27FC236}">
                <a16:creationId xmlns:a16="http://schemas.microsoft.com/office/drawing/2014/main" id="{92CA2B31-F1D0-F459-9C73-4C8847F03A9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13823" y="891783"/>
            <a:ext cx="269164" cy="272487"/>
          </a:xfrm>
          <a:prstGeom prst="rect">
            <a:avLst/>
          </a:prstGeom>
        </xdr:spPr>
      </xdr:pic>
      <xdr:pic>
        <xdr:nvPicPr>
          <xdr:cNvPr id="41" name="Graphic 40" descr="User with solid fill">
            <a:extLst>
              <a:ext uri="{FF2B5EF4-FFF2-40B4-BE49-F238E27FC236}">
                <a16:creationId xmlns:a16="http://schemas.microsoft.com/office/drawing/2014/main" id="{650EC9A8-4845-5F41-F523-2657F85D4CC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55707" y="880457"/>
            <a:ext cx="362648" cy="367477"/>
          </a:xfrm>
          <a:prstGeom prst="rect">
            <a:avLst/>
          </a:prstGeom>
        </xdr:spPr>
      </xdr:pic>
      <xdr:pic>
        <xdr:nvPicPr>
          <xdr:cNvPr id="49" name="Graphic 48" descr="User with solid fill">
            <a:extLst>
              <a:ext uri="{FF2B5EF4-FFF2-40B4-BE49-F238E27FC236}">
                <a16:creationId xmlns:a16="http://schemas.microsoft.com/office/drawing/2014/main" id="{1A687475-94FA-CFE3-1A8F-0D653558A968}"/>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885222" y="898046"/>
            <a:ext cx="269747" cy="272487"/>
          </a:xfrm>
          <a:prstGeom prst="rect">
            <a:avLst/>
          </a:prstGeom>
        </xdr:spPr>
      </xdr:pic>
    </xdr:grpSp>
    <xdr:clientData/>
  </xdr:twoCellAnchor>
  <xdr:twoCellAnchor>
    <xdr:from>
      <xdr:col>3</xdr:col>
      <xdr:colOff>497965</xdr:colOff>
      <xdr:row>4</xdr:row>
      <xdr:rowOff>111018</xdr:rowOff>
    </xdr:from>
    <xdr:to>
      <xdr:col>4</xdr:col>
      <xdr:colOff>210305</xdr:colOff>
      <xdr:row>6</xdr:row>
      <xdr:rowOff>53026</xdr:rowOff>
    </xdr:to>
    <xdr:sp macro="" textlink="">
      <xdr:nvSpPr>
        <xdr:cNvPr id="50" name="Oval 49">
          <a:extLst>
            <a:ext uri="{FF2B5EF4-FFF2-40B4-BE49-F238E27FC236}">
              <a16:creationId xmlns:a16="http://schemas.microsoft.com/office/drawing/2014/main" id="{408C77C8-ED2D-AB04-8904-FECC7B9ADD2C}"/>
            </a:ext>
          </a:extLst>
        </xdr:cNvPr>
        <xdr:cNvSpPr/>
      </xdr:nvSpPr>
      <xdr:spPr>
        <a:xfrm>
          <a:off x="2325000" y="840655"/>
          <a:ext cx="321351" cy="306827"/>
        </a:xfrm>
        <a:prstGeom prst="ellipse">
          <a:avLst/>
        </a:prstGeom>
        <a:solidFill>
          <a:schemeClr val="accent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xdr:col>
      <xdr:colOff>496990</xdr:colOff>
      <xdr:row>4</xdr:row>
      <xdr:rowOff>96786</xdr:rowOff>
    </xdr:from>
    <xdr:to>
      <xdr:col>4</xdr:col>
      <xdr:colOff>206572</xdr:colOff>
      <xdr:row>6</xdr:row>
      <xdr:rowOff>52949</xdr:rowOff>
    </xdr:to>
    <xdr:pic>
      <xdr:nvPicPr>
        <xdr:cNvPr id="53" name="Graphic 52" descr="Clock with solid fill">
          <a:extLst>
            <a:ext uri="{FF2B5EF4-FFF2-40B4-BE49-F238E27FC236}">
              <a16:creationId xmlns:a16="http://schemas.microsoft.com/office/drawing/2014/main" id="{4B1CDE60-AEE5-2B79-5818-F6EB5C3609B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327171" y="824254"/>
          <a:ext cx="319643" cy="319897"/>
        </a:xfrm>
        <a:prstGeom prst="rect">
          <a:avLst/>
        </a:prstGeom>
      </xdr:spPr>
    </xdr:pic>
    <xdr:clientData/>
  </xdr:twoCellAnchor>
  <xdr:twoCellAnchor>
    <xdr:from>
      <xdr:col>6</xdr:col>
      <xdr:colOff>98525</xdr:colOff>
      <xdr:row>4</xdr:row>
      <xdr:rowOff>111799</xdr:rowOff>
    </xdr:from>
    <xdr:to>
      <xdr:col>6</xdr:col>
      <xdr:colOff>435930</xdr:colOff>
      <xdr:row>6</xdr:row>
      <xdr:rowOff>48158</xdr:rowOff>
    </xdr:to>
    <xdr:sp macro="" textlink="">
      <xdr:nvSpPr>
        <xdr:cNvPr id="54" name="Oval 53">
          <a:extLst>
            <a:ext uri="{FF2B5EF4-FFF2-40B4-BE49-F238E27FC236}">
              <a16:creationId xmlns:a16="http://schemas.microsoft.com/office/drawing/2014/main" id="{1D085EB4-4AAD-8F71-12F5-DA4F29E17F8E}"/>
            </a:ext>
          </a:extLst>
        </xdr:cNvPr>
        <xdr:cNvSpPr/>
      </xdr:nvSpPr>
      <xdr:spPr>
        <a:xfrm>
          <a:off x="3752594" y="841436"/>
          <a:ext cx="337405" cy="301178"/>
        </a:xfrm>
        <a:prstGeom prst="ellipse">
          <a:avLst/>
        </a:prstGeom>
        <a:solidFill>
          <a:srgbClr val="7030A0"/>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6</xdr:col>
      <xdr:colOff>117815</xdr:colOff>
      <xdr:row>4</xdr:row>
      <xdr:rowOff>109416</xdr:rowOff>
    </xdr:from>
    <xdr:to>
      <xdr:col>6</xdr:col>
      <xdr:colOff>410345</xdr:colOff>
      <xdr:row>6</xdr:row>
      <xdr:rowOff>38247</xdr:rowOff>
    </xdr:to>
    <xdr:pic>
      <xdr:nvPicPr>
        <xdr:cNvPr id="56" name="Graphic 55" descr="Star with solid fill">
          <a:extLst>
            <a:ext uri="{FF2B5EF4-FFF2-40B4-BE49-F238E27FC236}">
              <a16:creationId xmlns:a16="http://schemas.microsoft.com/office/drawing/2014/main" id="{3E5328DB-12E2-A66D-800C-200F43992B7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771884" y="839053"/>
          <a:ext cx="292530" cy="293650"/>
        </a:xfrm>
        <a:prstGeom prst="rect">
          <a:avLst/>
        </a:prstGeom>
      </xdr:spPr>
    </xdr:pic>
    <xdr:clientData/>
  </xdr:twoCellAnchor>
  <xdr:twoCellAnchor editAs="absolute">
    <xdr:from>
      <xdr:col>4</xdr:col>
      <xdr:colOff>358277</xdr:colOff>
      <xdr:row>4</xdr:row>
      <xdr:rowOff>126578</xdr:rowOff>
    </xdr:from>
    <xdr:to>
      <xdr:col>5</xdr:col>
      <xdr:colOff>534390</xdr:colOff>
      <xdr:row>5</xdr:row>
      <xdr:rowOff>69272</xdr:rowOff>
    </xdr:to>
    <xdr:sp macro="" textlink="">
      <xdr:nvSpPr>
        <xdr:cNvPr id="57" name="TextBox 56">
          <a:extLst>
            <a:ext uri="{FF2B5EF4-FFF2-40B4-BE49-F238E27FC236}">
              <a16:creationId xmlns:a16="http://schemas.microsoft.com/office/drawing/2014/main" id="{A8788BB2-1FF0-E55F-5BF1-FC272AFE0554}"/>
            </a:ext>
          </a:extLst>
        </xdr:cNvPr>
        <xdr:cNvSpPr txBox="1"/>
      </xdr:nvSpPr>
      <xdr:spPr>
        <a:xfrm>
          <a:off x="2792719" y="858890"/>
          <a:ext cx="784723" cy="125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700" b="1">
              <a:solidFill>
                <a:schemeClr val="bg1"/>
              </a:solidFill>
              <a:effectLst/>
              <a:latin typeface="+mn-lt"/>
              <a:ea typeface="+mn-ea"/>
              <a:cs typeface="+mn-cs"/>
            </a:rPr>
            <a:t>Avg</a:t>
          </a:r>
          <a:r>
            <a:rPr lang="en-IN" sz="700" b="1" baseline="0">
              <a:solidFill>
                <a:schemeClr val="bg1"/>
              </a:solidFill>
              <a:effectLst/>
              <a:latin typeface="+mn-lt"/>
              <a:ea typeface="+mn-ea"/>
              <a:cs typeface="+mn-cs"/>
            </a:rPr>
            <a:t> Wait Time (Min)</a:t>
          </a:r>
          <a:endParaRPr lang="en-IN" sz="700">
            <a:solidFill>
              <a:schemeClr val="bg1"/>
            </a:solidFill>
            <a:effectLst/>
          </a:endParaRPr>
        </a:p>
      </xdr:txBody>
    </xdr:sp>
    <xdr:clientData/>
  </xdr:twoCellAnchor>
  <xdr:twoCellAnchor editAs="oneCell">
    <xdr:from>
      <xdr:col>0</xdr:col>
      <xdr:colOff>89123</xdr:colOff>
      <xdr:row>5</xdr:row>
      <xdr:rowOff>83820</xdr:rowOff>
    </xdr:from>
    <xdr:to>
      <xdr:col>1</xdr:col>
      <xdr:colOff>129540</xdr:colOff>
      <xdr:row>25</xdr:row>
      <xdr:rowOff>15240</xdr:rowOff>
    </xdr:to>
    <mc:AlternateContent xmlns:mc="http://schemas.openxmlformats.org/markup-compatibility/2006" xmlns:a14="http://schemas.microsoft.com/office/drawing/2010/main">
      <mc:Choice Requires="a14">
        <xdr:graphicFrame macro="">
          <xdr:nvGraphicFramePr>
            <xdr:cNvPr id="60" name="Date (Month)">
              <a:extLst>
                <a:ext uri="{FF2B5EF4-FFF2-40B4-BE49-F238E27FC236}">
                  <a16:creationId xmlns:a16="http://schemas.microsoft.com/office/drawing/2014/main" id="{5744B61B-D612-4B99-BBAD-A236D0E38F11}"/>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89123" y="998220"/>
              <a:ext cx="650017" cy="36652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26840</xdr:colOff>
      <xdr:row>6</xdr:row>
      <xdr:rowOff>88680</xdr:rowOff>
    </xdr:from>
    <xdr:to>
      <xdr:col>3</xdr:col>
      <xdr:colOff>194480</xdr:colOff>
      <xdr:row>7</xdr:row>
      <xdr:rowOff>144560</xdr:rowOff>
    </xdr:to>
    <xdr:sp macro="" textlink="'Pivot Report'!$I$19">
      <xdr:nvSpPr>
        <xdr:cNvPr id="65" name="TextBox 64">
          <a:extLst>
            <a:ext uri="{FF2B5EF4-FFF2-40B4-BE49-F238E27FC236}">
              <a16:creationId xmlns:a16="http://schemas.microsoft.com/office/drawing/2014/main" id="{023864DB-DB8E-339F-2F90-4920C6CA3292}"/>
            </a:ext>
          </a:extLst>
        </xdr:cNvPr>
        <xdr:cNvSpPr txBox="1"/>
      </xdr:nvSpPr>
      <xdr:spPr>
        <a:xfrm>
          <a:off x="1250840" y="1168680"/>
          <a:ext cx="779640" cy="235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697C871-B15D-45C0-A672-8CE57794C457}" type="TxLink">
            <a:rPr lang="en-US" sz="900" b="1" i="0" u="none" strike="noStrike">
              <a:solidFill>
                <a:srgbClr val="00E676"/>
              </a:solidFill>
              <a:latin typeface="Calibri"/>
              <a:ea typeface="Calibri"/>
              <a:cs typeface="Calibri"/>
            </a:rPr>
            <a:pPr algn="ctr"/>
            <a:t> </a:t>
          </a:fld>
          <a:endParaRPr lang="en-IN" sz="900" b="1">
            <a:solidFill>
              <a:srgbClr val="00E676"/>
            </a:solidFill>
          </a:endParaRPr>
        </a:p>
      </xdr:txBody>
    </xdr:sp>
    <xdr:clientData/>
  </xdr:twoCellAnchor>
  <xdr:twoCellAnchor>
    <xdr:from>
      <xdr:col>4</xdr:col>
      <xdr:colOff>265120</xdr:colOff>
      <xdr:row>6</xdr:row>
      <xdr:rowOff>75760</xdr:rowOff>
    </xdr:from>
    <xdr:to>
      <xdr:col>5</xdr:col>
      <xdr:colOff>371800</xdr:colOff>
      <xdr:row>7</xdr:row>
      <xdr:rowOff>131640</xdr:rowOff>
    </xdr:to>
    <xdr:sp macro="" textlink="'Pivot Report'!$I$20">
      <xdr:nvSpPr>
        <xdr:cNvPr id="66" name="TextBox 65">
          <a:extLst>
            <a:ext uri="{FF2B5EF4-FFF2-40B4-BE49-F238E27FC236}">
              <a16:creationId xmlns:a16="http://schemas.microsoft.com/office/drawing/2014/main" id="{3BA7D228-BAB2-D04C-02FF-30B6A1F2833C}"/>
            </a:ext>
          </a:extLst>
        </xdr:cNvPr>
        <xdr:cNvSpPr txBox="1"/>
      </xdr:nvSpPr>
      <xdr:spPr>
        <a:xfrm>
          <a:off x="2713120" y="1155760"/>
          <a:ext cx="718680" cy="235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CFA69F5-3BBE-4C05-BC62-799D0018416E}" type="TxLink">
            <a:rPr lang="en-US" sz="900" b="1" i="0" u="none" strike="noStrike">
              <a:solidFill>
                <a:srgbClr val="FF5252"/>
              </a:solidFill>
              <a:latin typeface="Calibri"/>
              <a:ea typeface="Calibri"/>
              <a:cs typeface="Calibri"/>
            </a:rPr>
            <a:pPr algn="ctr"/>
            <a:t> </a:t>
          </a:fld>
          <a:endParaRPr lang="en-IN" sz="600" b="1">
            <a:solidFill>
              <a:srgbClr val="FF5252"/>
            </a:solidFill>
          </a:endParaRPr>
        </a:p>
      </xdr:txBody>
    </xdr:sp>
    <xdr:clientData/>
  </xdr:twoCellAnchor>
  <xdr:twoCellAnchor>
    <xdr:from>
      <xdr:col>6</xdr:col>
      <xdr:colOff>462800</xdr:colOff>
      <xdr:row>6</xdr:row>
      <xdr:rowOff>81280</xdr:rowOff>
    </xdr:from>
    <xdr:to>
      <xdr:col>7</xdr:col>
      <xdr:colOff>571880</xdr:colOff>
      <xdr:row>7</xdr:row>
      <xdr:rowOff>137160</xdr:rowOff>
    </xdr:to>
    <xdr:sp macro="" textlink="'Pivot Report'!$I$21">
      <xdr:nvSpPr>
        <xdr:cNvPr id="68" name="TextBox 67">
          <a:extLst>
            <a:ext uri="{FF2B5EF4-FFF2-40B4-BE49-F238E27FC236}">
              <a16:creationId xmlns:a16="http://schemas.microsoft.com/office/drawing/2014/main" id="{6A9B4311-1C6C-8776-78F2-DA0F8DE70A1D}"/>
            </a:ext>
          </a:extLst>
        </xdr:cNvPr>
        <xdr:cNvSpPr txBox="1"/>
      </xdr:nvSpPr>
      <xdr:spPr>
        <a:xfrm>
          <a:off x="4134800" y="1161280"/>
          <a:ext cx="721080" cy="235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FBB11B0-5261-4D0E-9BF0-C428ADFA39CF}" type="TxLink">
            <a:rPr lang="en-US" sz="900" b="1" i="0" u="none" strike="noStrike">
              <a:solidFill>
                <a:srgbClr val="00E676"/>
              </a:solidFill>
              <a:latin typeface="Calibri"/>
              <a:ea typeface="Calibri"/>
              <a:cs typeface="Calibri"/>
            </a:rPr>
            <a:pPr algn="ctr"/>
            <a:t> </a:t>
          </a:fld>
          <a:endParaRPr lang="en-IN" sz="600" b="1">
            <a:solidFill>
              <a:srgbClr val="00E676"/>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324727</xdr:colOff>
          <xdr:row>9</xdr:row>
          <xdr:rowOff>116431</xdr:rowOff>
        </xdr:from>
        <xdr:to>
          <xdr:col>8</xdr:col>
          <xdr:colOff>214312</xdr:colOff>
          <xdr:row>13</xdr:row>
          <xdr:rowOff>115</xdr:rowOff>
        </xdr:to>
        <xdr:pic>
          <xdr:nvPicPr>
            <xdr:cNvPr id="44" name="Picture 43">
              <a:extLst>
                <a:ext uri="{FF2B5EF4-FFF2-40B4-BE49-F238E27FC236}">
                  <a16:creationId xmlns:a16="http://schemas.microsoft.com/office/drawing/2014/main" id="{3A8C218D-81ED-109A-3A66-5FC84CE3AFF8}"/>
                </a:ext>
              </a:extLst>
            </xdr:cNvPr>
            <xdr:cNvPicPr>
              <a:picLocks noChangeAspect="1" noChangeArrowheads="1"/>
              <a:extLst>
                <a:ext uri="{84589F7E-364E-4C9E-8A38-B11213B215E9}">
                  <a14:cameraTool cellRange="'Pivot Report'!$B$30:$E$32" spid="_x0000_s1063"/>
                </a:ext>
              </a:extLst>
            </xdr:cNvPicPr>
          </xdr:nvPicPr>
          <xdr:blipFill>
            <a:blip xmlns:r="http://schemas.openxmlformats.org/officeDocument/2006/relationships" r:embed="rId8"/>
            <a:srcRect/>
            <a:stretch>
              <a:fillRect/>
            </a:stretch>
          </xdr:blipFill>
          <xdr:spPr bwMode="auto">
            <a:xfrm>
              <a:off x="933398" y="1747297"/>
              <a:ext cx="4150280" cy="608513"/>
            </a:xfrm>
            <a:prstGeom prst="rect">
              <a:avLst/>
            </a:prstGeom>
            <a:ln>
              <a:noFill/>
            </a:ln>
            <a:effectLst>
              <a:outerShdw blurRad="190500" algn="tl" rotWithShape="0">
                <a:srgbClr val="000000">
                  <a:alpha val="70000"/>
                </a:srgbClr>
              </a:outerShdw>
            </a:effectLst>
            <a:extLst>
              <a:ext uri="{909E8E84-426E-40DD-AFC4-6F175D3DCCD1}">
                <a14:hiddenFill>
                  <a:solidFill>
                    <a:srgbClr val="FFFFFF"/>
                  </a:solidFill>
                </a14:hiddenFill>
              </a:ext>
            </a:extLst>
          </xdr:spPr>
        </xdr:pic>
        <xdr:clientData/>
      </xdr:twoCellAnchor>
    </mc:Choice>
    <mc:Fallback/>
  </mc:AlternateContent>
  <xdr:twoCellAnchor editAs="oneCell">
    <xdr:from>
      <xdr:col>1</xdr:col>
      <xdr:colOff>339403</xdr:colOff>
      <xdr:row>8</xdr:row>
      <xdr:rowOff>88236</xdr:rowOff>
    </xdr:from>
    <xdr:to>
      <xdr:col>1</xdr:col>
      <xdr:colOff>552914</xdr:colOff>
      <xdr:row>9</xdr:row>
      <xdr:rowOff>120206</xdr:rowOff>
    </xdr:to>
    <xdr:pic>
      <xdr:nvPicPr>
        <xdr:cNvPr id="48" name="Graphic 47" descr="Bar chart with solid fill">
          <a:extLst>
            <a:ext uri="{FF2B5EF4-FFF2-40B4-BE49-F238E27FC236}">
              <a16:creationId xmlns:a16="http://schemas.microsoft.com/office/drawing/2014/main" id="{6F165F05-A128-B834-00CE-5E44AFAD622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48074" y="1537895"/>
          <a:ext cx="213511" cy="213177"/>
        </a:xfrm>
        <a:prstGeom prst="rect">
          <a:avLst/>
        </a:prstGeom>
      </xdr:spPr>
    </xdr:pic>
    <xdr:clientData/>
  </xdr:twoCellAnchor>
  <xdr:twoCellAnchor editAs="absolute">
    <xdr:from>
      <xdr:col>1</xdr:col>
      <xdr:colOff>596840</xdr:colOff>
      <xdr:row>8</xdr:row>
      <xdr:rowOff>109190</xdr:rowOff>
    </xdr:from>
    <xdr:to>
      <xdr:col>3</xdr:col>
      <xdr:colOff>445325</xdr:colOff>
      <xdr:row>9</xdr:row>
      <xdr:rowOff>92885</xdr:rowOff>
    </xdr:to>
    <xdr:sp macro="" textlink="">
      <xdr:nvSpPr>
        <xdr:cNvPr id="52" name="TextBox 51">
          <a:extLst>
            <a:ext uri="{FF2B5EF4-FFF2-40B4-BE49-F238E27FC236}">
              <a16:creationId xmlns:a16="http://schemas.microsoft.com/office/drawing/2014/main" id="{ADAD6939-E942-3F02-2C32-CE7433A1115D}"/>
            </a:ext>
          </a:extLst>
        </xdr:cNvPr>
        <xdr:cNvSpPr txBox="1"/>
      </xdr:nvSpPr>
      <xdr:spPr>
        <a:xfrm>
          <a:off x="1205450" y="1573813"/>
          <a:ext cx="1065706" cy="166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100" b="1">
              <a:solidFill>
                <a:schemeClr val="bg1"/>
              </a:solidFill>
            </a:rPr>
            <a:t>Admission</a:t>
          </a:r>
          <a:r>
            <a:rPr lang="en-IN" sz="1100" b="1" baseline="0">
              <a:solidFill>
                <a:schemeClr val="bg1"/>
              </a:solidFill>
            </a:rPr>
            <a:t> Status</a:t>
          </a:r>
          <a:endParaRPr lang="en-IN" sz="1100" b="1">
            <a:solidFill>
              <a:schemeClr val="bg1"/>
            </a:solidFill>
          </a:endParaRPr>
        </a:p>
      </xdr:txBody>
    </xdr:sp>
    <xdr:clientData/>
  </xdr:twoCellAnchor>
  <xdr:twoCellAnchor>
    <xdr:from>
      <xdr:col>1</xdr:col>
      <xdr:colOff>422768</xdr:colOff>
      <xdr:row>14</xdr:row>
      <xdr:rowOff>41415</xdr:rowOff>
    </xdr:from>
    <xdr:to>
      <xdr:col>7</xdr:col>
      <xdr:colOff>604631</xdr:colOff>
      <xdr:row>19</xdr:row>
      <xdr:rowOff>173936</xdr:rowOff>
    </xdr:to>
    <xdr:graphicFrame macro="">
      <xdr:nvGraphicFramePr>
        <xdr:cNvPr id="55" name="Chart 54">
          <a:extLst>
            <a:ext uri="{FF2B5EF4-FFF2-40B4-BE49-F238E27FC236}">
              <a16:creationId xmlns:a16="http://schemas.microsoft.com/office/drawing/2014/main" id="{D388A719-5BE3-45B4-BD3E-3C87D8DCB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4</xdr:col>
      <xdr:colOff>117487</xdr:colOff>
      <xdr:row>19</xdr:row>
      <xdr:rowOff>91878</xdr:rowOff>
    </xdr:from>
    <xdr:to>
      <xdr:col>5</xdr:col>
      <xdr:colOff>578885</xdr:colOff>
      <xdr:row>20</xdr:row>
      <xdr:rowOff>11261</xdr:rowOff>
    </xdr:to>
    <xdr:sp macro="" textlink="">
      <xdr:nvSpPr>
        <xdr:cNvPr id="58" name="TextBox 57">
          <a:extLst>
            <a:ext uri="{FF2B5EF4-FFF2-40B4-BE49-F238E27FC236}">
              <a16:creationId xmlns:a16="http://schemas.microsoft.com/office/drawing/2014/main" id="{D42D056E-B4ED-0C7A-F794-D5FB910D6F42}"/>
            </a:ext>
          </a:extLst>
        </xdr:cNvPr>
        <xdr:cNvSpPr txBox="1"/>
      </xdr:nvSpPr>
      <xdr:spPr>
        <a:xfrm>
          <a:off x="2567840" y="3498466"/>
          <a:ext cx="1073986" cy="165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900" b="0">
              <a:solidFill>
                <a:schemeClr val="bg1"/>
              </a:solidFill>
            </a:rPr>
            <a:t>Age</a:t>
          </a:r>
          <a:r>
            <a:rPr lang="en-IN" sz="900" b="0" baseline="0">
              <a:solidFill>
                <a:schemeClr val="bg1"/>
              </a:solidFill>
            </a:rPr>
            <a:t> Group (Years)</a:t>
          </a:r>
          <a:endParaRPr lang="en-IN" sz="900" b="0">
            <a:solidFill>
              <a:schemeClr val="bg1"/>
            </a:solidFill>
          </a:endParaRPr>
        </a:p>
      </xdr:txBody>
    </xdr:sp>
    <xdr:clientData/>
  </xdr:twoCellAnchor>
  <xdr:twoCellAnchor editAs="absolute">
    <xdr:from>
      <xdr:col>1</xdr:col>
      <xdr:colOff>331311</xdr:colOff>
      <xdr:row>14</xdr:row>
      <xdr:rowOff>132523</xdr:rowOff>
    </xdr:from>
    <xdr:to>
      <xdr:col>1</xdr:col>
      <xdr:colOff>480394</xdr:colOff>
      <xdr:row>18</xdr:row>
      <xdr:rowOff>149087</xdr:rowOff>
    </xdr:to>
    <xdr:sp macro="" textlink="">
      <xdr:nvSpPr>
        <xdr:cNvPr id="59" name="TextBox 58">
          <a:extLst>
            <a:ext uri="{FF2B5EF4-FFF2-40B4-BE49-F238E27FC236}">
              <a16:creationId xmlns:a16="http://schemas.microsoft.com/office/drawing/2014/main" id="{946E7655-E415-7A41-EDC9-6F698DF91A46}"/>
            </a:ext>
          </a:extLst>
        </xdr:cNvPr>
        <xdr:cNvSpPr txBox="1"/>
      </xdr:nvSpPr>
      <xdr:spPr>
        <a:xfrm rot="16200000">
          <a:off x="646049" y="2981741"/>
          <a:ext cx="745434" cy="1490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900" b="0">
              <a:solidFill>
                <a:schemeClr val="bg1"/>
              </a:solidFill>
            </a:rPr>
            <a:t>No</a:t>
          </a:r>
          <a:r>
            <a:rPr lang="en-IN" sz="900" b="0" baseline="0">
              <a:solidFill>
                <a:schemeClr val="bg1"/>
              </a:solidFill>
            </a:rPr>
            <a:t> of Patients</a:t>
          </a:r>
          <a:endParaRPr lang="en-IN" sz="900" b="0">
            <a:solidFill>
              <a:schemeClr val="bg1"/>
            </a:solidFill>
          </a:endParaRPr>
        </a:p>
      </xdr:txBody>
    </xdr:sp>
    <xdr:clientData/>
  </xdr:twoCellAnchor>
  <xdr:twoCellAnchor editAs="absolute">
    <xdr:from>
      <xdr:col>2</xdr:col>
      <xdr:colOff>21653</xdr:colOff>
      <xdr:row>13</xdr:row>
      <xdr:rowOff>114107</xdr:rowOff>
    </xdr:from>
    <xdr:to>
      <xdr:col>4</xdr:col>
      <xdr:colOff>368710</xdr:colOff>
      <xdr:row>14</xdr:row>
      <xdr:rowOff>97802</xdr:rowOff>
    </xdr:to>
    <xdr:sp macro="" textlink="">
      <xdr:nvSpPr>
        <xdr:cNvPr id="61" name="TextBox 60">
          <a:extLst>
            <a:ext uri="{FF2B5EF4-FFF2-40B4-BE49-F238E27FC236}">
              <a16:creationId xmlns:a16="http://schemas.microsoft.com/office/drawing/2014/main" id="{BA53195E-5DBF-67A5-D7E0-E29609F534DF}"/>
            </a:ext>
          </a:extLst>
        </xdr:cNvPr>
        <xdr:cNvSpPr txBox="1"/>
      </xdr:nvSpPr>
      <xdr:spPr>
        <a:xfrm>
          <a:off x="1240853" y="2478765"/>
          <a:ext cx="1566257" cy="165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000" b="1">
              <a:solidFill>
                <a:schemeClr val="bg1"/>
              </a:solidFill>
            </a:rPr>
            <a:t>No.</a:t>
          </a:r>
          <a:r>
            <a:rPr lang="en-IN" sz="1000" b="1" baseline="0">
              <a:solidFill>
                <a:schemeClr val="bg1"/>
              </a:solidFill>
            </a:rPr>
            <a:t> of Patients by Age Group</a:t>
          </a:r>
          <a:endParaRPr lang="en-IN" sz="1000" b="1">
            <a:solidFill>
              <a:schemeClr val="bg1"/>
            </a:solidFill>
          </a:endParaRPr>
        </a:p>
      </xdr:txBody>
    </xdr:sp>
    <xdr:clientData/>
  </xdr:twoCellAnchor>
  <xdr:twoCellAnchor>
    <xdr:from>
      <xdr:col>1</xdr:col>
      <xdr:colOff>295724</xdr:colOff>
      <xdr:row>13</xdr:row>
      <xdr:rowOff>84371</xdr:rowOff>
    </xdr:from>
    <xdr:to>
      <xdr:col>1</xdr:col>
      <xdr:colOff>491490</xdr:colOff>
      <xdr:row>14</xdr:row>
      <xdr:rowOff>103046</xdr:rowOff>
    </xdr:to>
    <xdr:pic>
      <xdr:nvPicPr>
        <xdr:cNvPr id="63" name="Graphic 62" descr="User with solid fill">
          <a:extLst>
            <a:ext uri="{FF2B5EF4-FFF2-40B4-BE49-F238E27FC236}">
              <a16:creationId xmlns:a16="http://schemas.microsoft.com/office/drawing/2014/main" id="{473CA2C2-69E9-4615-B84E-4C1B32B8366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05324" y="2461811"/>
          <a:ext cx="195766" cy="201555"/>
        </a:xfrm>
        <a:prstGeom prst="rect">
          <a:avLst/>
        </a:prstGeom>
      </xdr:spPr>
    </xdr:pic>
    <xdr:clientData/>
  </xdr:twoCellAnchor>
  <xdr:twoCellAnchor>
    <xdr:from>
      <xdr:col>1</xdr:col>
      <xdr:colOff>393970</xdr:colOff>
      <xdr:row>13</xdr:row>
      <xdr:rowOff>99629</xdr:rowOff>
    </xdr:from>
    <xdr:to>
      <xdr:col>1</xdr:col>
      <xdr:colOff>574746</xdr:colOff>
      <xdr:row>14</xdr:row>
      <xdr:rowOff>102871</xdr:rowOff>
    </xdr:to>
    <xdr:pic>
      <xdr:nvPicPr>
        <xdr:cNvPr id="64" name="Graphic 63" descr="User with solid fill">
          <a:extLst>
            <a:ext uri="{FF2B5EF4-FFF2-40B4-BE49-F238E27FC236}">
              <a16:creationId xmlns:a16="http://schemas.microsoft.com/office/drawing/2014/main" id="{5DB521F1-59B1-437E-B311-90C1431B097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03570" y="2477069"/>
          <a:ext cx="180776" cy="186122"/>
        </a:xfrm>
        <a:prstGeom prst="rect">
          <a:avLst/>
        </a:prstGeom>
      </xdr:spPr>
    </xdr:pic>
    <xdr:clientData/>
  </xdr:twoCellAnchor>
  <xdr:twoCellAnchor>
    <xdr:from>
      <xdr:col>1</xdr:col>
      <xdr:colOff>420687</xdr:colOff>
      <xdr:row>21</xdr:row>
      <xdr:rowOff>105317</xdr:rowOff>
    </xdr:from>
    <xdr:to>
      <xdr:col>13</xdr:col>
      <xdr:colOff>453341</xdr:colOff>
      <xdr:row>27</xdr:row>
      <xdr:rowOff>96454</xdr:rowOff>
    </xdr:to>
    <xdr:graphicFrame macro="">
      <xdr:nvGraphicFramePr>
        <xdr:cNvPr id="67" name="Chart 66">
          <a:extLst>
            <a:ext uri="{FF2B5EF4-FFF2-40B4-BE49-F238E27FC236}">
              <a16:creationId xmlns:a16="http://schemas.microsoft.com/office/drawing/2014/main" id="{29521F62-DF5D-479B-B44B-F1559BCC3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2</xdr:col>
      <xdr:colOff>25615</xdr:colOff>
      <xdr:row>20</xdr:row>
      <xdr:rowOff>113531</xdr:rowOff>
    </xdr:from>
    <xdr:to>
      <xdr:col>5</xdr:col>
      <xdr:colOff>124148</xdr:colOff>
      <xdr:row>21</xdr:row>
      <xdr:rowOff>88635</xdr:rowOff>
    </xdr:to>
    <xdr:sp macro="" textlink="">
      <xdr:nvSpPr>
        <xdr:cNvPr id="69" name="TextBox 68">
          <a:extLst>
            <a:ext uri="{FF2B5EF4-FFF2-40B4-BE49-F238E27FC236}">
              <a16:creationId xmlns:a16="http://schemas.microsoft.com/office/drawing/2014/main" id="{AE2252C8-018A-D61A-B1A7-FE3B1EA198B2}"/>
            </a:ext>
          </a:extLst>
        </xdr:cNvPr>
        <xdr:cNvSpPr txBox="1"/>
      </xdr:nvSpPr>
      <xdr:spPr>
        <a:xfrm>
          <a:off x="1247833" y="3799046"/>
          <a:ext cx="1931860" cy="175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000" b="1">
              <a:solidFill>
                <a:schemeClr val="bg1"/>
              </a:solidFill>
            </a:rPr>
            <a:t>Average</a:t>
          </a:r>
          <a:r>
            <a:rPr lang="en-IN" sz="1000" b="1" baseline="0">
              <a:solidFill>
                <a:schemeClr val="bg1"/>
              </a:solidFill>
            </a:rPr>
            <a:t> Wait Time By Department</a:t>
          </a:r>
          <a:endParaRPr lang="en-IN" sz="1000" b="1">
            <a:solidFill>
              <a:schemeClr val="bg1"/>
            </a:solidFill>
          </a:endParaRPr>
        </a:p>
      </xdr:txBody>
    </xdr:sp>
    <xdr:clientData/>
  </xdr:twoCellAnchor>
  <xdr:twoCellAnchor editAs="oneCell">
    <xdr:from>
      <xdr:col>1</xdr:col>
      <xdr:colOff>342330</xdr:colOff>
      <xdr:row>20</xdr:row>
      <xdr:rowOff>47573</xdr:rowOff>
    </xdr:from>
    <xdr:to>
      <xdr:col>2</xdr:col>
      <xdr:colOff>1610</xdr:colOff>
      <xdr:row>21</xdr:row>
      <xdr:rowOff>115488</xdr:rowOff>
    </xdr:to>
    <xdr:pic>
      <xdr:nvPicPr>
        <xdr:cNvPr id="71" name="Graphic 70" descr="Clock with solid fill">
          <a:extLst>
            <a:ext uri="{FF2B5EF4-FFF2-40B4-BE49-F238E27FC236}">
              <a16:creationId xmlns:a16="http://schemas.microsoft.com/office/drawing/2014/main" id="{72B55A78-F191-3EE8-B251-8F594744103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53439" y="3733088"/>
          <a:ext cx="268779" cy="267846"/>
        </a:xfrm>
        <a:prstGeom prst="rect">
          <a:avLst/>
        </a:prstGeom>
      </xdr:spPr>
    </xdr:pic>
    <xdr:clientData/>
  </xdr:twoCellAnchor>
  <xdr:twoCellAnchor editAs="absolute">
    <xdr:from>
      <xdr:col>1</xdr:col>
      <xdr:colOff>326550</xdr:colOff>
      <xdr:row>21</xdr:row>
      <xdr:rowOff>170624</xdr:rowOff>
    </xdr:from>
    <xdr:to>
      <xdr:col>1</xdr:col>
      <xdr:colOff>475633</xdr:colOff>
      <xdr:row>26</xdr:row>
      <xdr:rowOff>6213</xdr:rowOff>
    </xdr:to>
    <xdr:sp macro="" textlink="">
      <xdr:nvSpPr>
        <xdr:cNvPr id="72" name="TextBox 71">
          <a:extLst>
            <a:ext uri="{FF2B5EF4-FFF2-40B4-BE49-F238E27FC236}">
              <a16:creationId xmlns:a16="http://schemas.microsoft.com/office/drawing/2014/main" id="{876CF461-F7E5-FDC5-16EC-F9DDC5FEB7B2}"/>
            </a:ext>
          </a:extLst>
        </xdr:cNvPr>
        <xdr:cNvSpPr txBox="1"/>
      </xdr:nvSpPr>
      <xdr:spPr>
        <a:xfrm rot="16200000">
          <a:off x="640460" y="4347752"/>
          <a:ext cx="740464" cy="1490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800" b="0">
              <a:solidFill>
                <a:schemeClr val="bg1"/>
              </a:solidFill>
            </a:rPr>
            <a:t>Wait</a:t>
          </a:r>
          <a:r>
            <a:rPr lang="en-IN" sz="800" b="0" baseline="0">
              <a:solidFill>
                <a:schemeClr val="bg1"/>
              </a:solidFill>
            </a:rPr>
            <a:t> Time (Min)</a:t>
          </a:r>
          <a:endParaRPr lang="en-IN" sz="800" b="0">
            <a:solidFill>
              <a:schemeClr val="bg1"/>
            </a:solidFill>
          </a:endParaRPr>
        </a:p>
      </xdr:txBody>
    </xdr:sp>
    <xdr:clientData/>
  </xdr:twoCellAnchor>
  <xdr:twoCellAnchor>
    <xdr:from>
      <xdr:col>8</xdr:col>
      <xdr:colOff>288000</xdr:colOff>
      <xdr:row>12</xdr:row>
      <xdr:rowOff>44388</xdr:rowOff>
    </xdr:from>
    <xdr:to>
      <xdr:col>14</xdr:col>
      <xdr:colOff>0</xdr:colOff>
      <xdr:row>19</xdr:row>
      <xdr:rowOff>147961</xdr:rowOff>
    </xdr:to>
    <xdr:graphicFrame macro="">
      <xdr:nvGraphicFramePr>
        <xdr:cNvPr id="73" name="Chart 72">
          <a:extLst>
            <a:ext uri="{FF2B5EF4-FFF2-40B4-BE49-F238E27FC236}">
              <a16:creationId xmlns:a16="http://schemas.microsoft.com/office/drawing/2014/main" id="{AF3B0D11-1590-4E9B-A497-4E24FE784F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9</xdr:col>
      <xdr:colOff>594673</xdr:colOff>
      <xdr:row>19</xdr:row>
      <xdr:rowOff>75640</xdr:rowOff>
    </xdr:from>
    <xdr:to>
      <xdr:col>13</xdr:col>
      <xdr:colOff>74950</xdr:colOff>
      <xdr:row>19</xdr:row>
      <xdr:rowOff>206116</xdr:rowOff>
    </xdr:to>
    <xdr:sp macro="" textlink="">
      <xdr:nvSpPr>
        <xdr:cNvPr id="74" name="TextBox 73">
          <a:extLst>
            <a:ext uri="{FF2B5EF4-FFF2-40B4-BE49-F238E27FC236}">
              <a16:creationId xmlns:a16="http://schemas.microsoft.com/office/drawing/2014/main" id="{95460A1A-DDFD-7E0D-0644-21825C69D051}"/>
            </a:ext>
          </a:extLst>
        </xdr:cNvPr>
        <xdr:cNvSpPr txBox="1"/>
      </xdr:nvSpPr>
      <xdr:spPr>
        <a:xfrm>
          <a:off x="6103558" y="3517132"/>
          <a:ext cx="1928671" cy="1304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900" b="0">
              <a:solidFill>
                <a:schemeClr val="bg1"/>
              </a:solidFill>
            </a:rPr>
            <a:t>No.</a:t>
          </a:r>
          <a:r>
            <a:rPr lang="en-IN" sz="900" b="0" baseline="0">
              <a:solidFill>
                <a:schemeClr val="bg1"/>
              </a:solidFill>
            </a:rPr>
            <a:t> of Patient by Department Referral</a:t>
          </a:r>
          <a:endParaRPr lang="en-IN" sz="900" b="0">
            <a:solidFill>
              <a:schemeClr val="bg1"/>
            </a:solidFill>
          </a:endParaRPr>
        </a:p>
      </xdr:txBody>
    </xdr:sp>
    <xdr:clientData/>
  </xdr:twoCellAnchor>
  <xdr:twoCellAnchor editAs="absolute">
    <xdr:from>
      <xdr:col>9</xdr:col>
      <xdr:colOff>92858</xdr:colOff>
      <xdr:row>11</xdr:row>
      <xdr:rowOff>141587</xdr:rowOff>
    </xdr:from>
    <xdr:to>
      <xdr:col>12</xdr:col>
      <xdr:colOff>430968</xdr:colOff>
      <xdr:row>12</xdr:row>
      <xdr:rowOff>137409</xdr:rowOff>
    </xdr:to>
    <xdr:sp macro="" textlink="">
      <xdr:nvSpPr>
        <xdr:cNvPr id="75" name="TextBox 74">
          <a:extLst>
            <a:ext uri="{FF2B5EF4-FFF2-40B4-BE49-F238E27FC236}">
              <a16:creationId xmlns:a16="http://schemas.microsoft.com/office/drawing/2014/main" id="{955294C5-1734-2A04-D84C-B9AD373BE72B}"/>
            </a:ext>
          </a:extLst>
        </xdr:cNvPr>
        <xdr:cNvSpPr txBox="1"/>
      </xdr:nvSpPr>
      <xdr:spPr>
        <a:xfrm>
          <a:off x="5601743" y="2134030"/>
          <a:ext cx="2174405" cy="176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000" b="1">
              <a:solidFill>
                <a:schemeClr val="bg1"/>
              </a:solidFill>
              <a:effectLst/>
              <a:latin typeface="+mn-lt"/>
              <a:ea typeface="+mn-ea"/>
              <a:cs typeface="+mn-cs"/>
            </a:rPr>
            <a:t>No.</a:t>
          </a:r>
          <a:r>
            <a:rPr lang="en-IN" sz="1000" b="1" baseline="0">
              <a:solidFill>
                <a:schemeClr val="bg1"/>
              </a:solidFill>
              <a:effectLst/>
              <a:latin typeface="+mn-lt"/>
              <a:ea typeface="+mn-ea"/>
              <a:cs typeface="+mn-cs"/>
            </a:rPr>
            <a:t> of Patient </a:t>
          </a:r>
          <a:r>
            <a:rPr lang="en-IN" sz="1050" b="1" baseline="0">
              <a:solidFill>
                <a:schemeClr val="bg1"/>
              </a:solidFill>
              <a:effectLst/>
              <a:latin typeface="+mn-lt"/>
              <a:ea typeface="+mn-ea"/>
              <a:cs typeface="+mn-cs"/>
            </a:rPr>
            <a:t>by</a:t>
          </a:r>
          <a:r>
            <a:rPr lang="en-IN" sz="1000" b="1" baseline="0">
              <a:solidFill>
                <a:schemeClr val="bg1"/>
              </a:solidFill>
              <a:effectLst/>
              <a:latin typeface="+mn-lt"/>
              <a:ea typeface="+mn-ea"/>
              <a:cs typeface="+mn-cs"/>
            </a:rPr>
            <a:t> Department Referral</a:t>
          </a:r>
          <a:endParaRPr lang="en-IN" sz="800" b="1">
            <a:solidFill>
              <a:schemeClr val="bg1"/>
            </a:solidFill>
            <a:effectLst/>
          </a:endParaRPr>
        </a:p>
      </xdr:txBody>
    </xdr:sp>
    <xdr:clientData/>
  </xdr:twoCellAnchor>
  <xdr:twoCellAnchor editAs="oneCell">
    <xdr:from>
      <xdr:col>8</xdr:col>
      <xdr:colOff>385623</xdr:colOff>
      <xdr:row>11</xdr:row>
      <xdr:rowOff>96980</xdr:rowOff>
    </xdr:from>
    <xdr:to>
      <xdr:col>9</xdr:col>
      <xdr:colOff>70608</xdr:colOff>
      <xdr:row>13</xdr:row>
      <xdr:rowOff>31230</xdr:rowOff>
    </xdr:to>
    <xdr:pic>
      <xdr:nvPicPr>
        <xdr:cNvPr id="76" name="Graphic 75" descr="Bar chart with solid fill">
          <a:extLst>
            <a:ext uri="{FF2B5EF4-FFF2-40B4-BE49-F238E27FC236}">
              <a16:creationId xmlns:a16="http://schemas.microsoft.com/office/drawing/2014/main" id="{EF384F32-E102-590E-6894-D3299E8D049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282410" y="2089423"/>
          <a:ext cx="297083" cy="296512"/>
        </a:xfrm>
        <a:prstGeom prst="rect">
          <a:avLst/>
        </a:prstGeom>
      </xdr:spPr>
    </xdr:pic>
    <xdr:clientData/>
  </xdr:twoCellAnchor>
  <xdr:twoCellAnchor>
    <xdr:from>
      <xdr:col>8</xdr:col>
      <xdr:colOff>172753</xdr:colOff>
      <xdr:row>4</xdr:row>
      <xdr:rowOff>168797</xdr:rowOff>
    </xdr:from>
    <xdr:to>
      <xdr:col>11</xdr:col>
      <xdr:colOff>149507</xdr:colOff>
      <xdr:row>10</xdr:row>
      <xdr:rowOff>173620</xdr:rowOff>
    </xdr:to>
    <xdr:graphicFrame macro="">
      <xdr:nvGraphicFramePr>
        <xdr:cNvPr id="77" name="Chart 76">
          <a:extLst>
            <a:ext uri="{FF2B5EF4-FFF2-40B4-BE49-F238E27FC236}">
              <a16:creationId xmlns:a16="http://schemas.microsoft.com/office/drawing/2014/main" id="{4B981005-4590-4DF2-8E74-B361853B09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8</xdr:col>
      <xdr:colOff>487656</xdr:colOff>
      <xdr:row>4</xdr:row>
      <xdr:rowOff>75828</xdr:rowOff>
    </xdr:from>
    <xdr:to>
      <xdr:col>10</xdr:col>
      <xdr:colOff>530746</xdr:colOff>
      <xdr:row>5</xdr:row>
      <xdr:rowOff>59523</xdr:rowOff>
    </xdr:to>
    <xdr:sp macro="" textlink="">
      <xdr:nvSpPr>
        <xdr:cNvPr id="78" name="TextBox 77">
          <a:extLst>
            <a:ext uri="{FF2B5EF4-FFF2-40B4-BE49-F238E27FC236}">
              <a16:creationId xmlns:a16="http://schemas.microsoft.com/office/drawing/2014/main" id="{9F50A23C-D038-F8B2-0433-A5F841BBF0BB}"/>
            </a:ext>
          </a:extLst>
        </xdr:cNvPr>
        <xdr:cNvSpPr txBox="1"/>
      </xdr:nvSpPr>
      <xdr:spPr>
        <a:xfrm>
          <a:off x="5370522" y="803709"/>
          <a:ext cx="1263806" cy="165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900" b="1">
              <a:solidFill>
                <a:schemeClr val="bg1"/>
              </a:solidFill>
            </a:rPr>
            <a:t>Patients</a:t>
          </a:r>
          <a:r>
            <a:rPr lang="en-IN" sz="900" b="1" baseline="0">
              <a:solidFill>
                <a:schemeClr val="bg1"/>
              </a:solidFill>
            </a:rPr>
            <a:t> Attended  Status </a:t>
          </a:r>
          <a:endParaRPr lang="en-IN" sz="900" b="1">
            <a:solidFill>
              <a:schemeClr val="bg1"/>
            </a:solidFill>
          </a:endParaRPr>
        </a:p>
      </xdr:txBody>
    </xdr:sp>
    <xdr:clientData/>
  </xdr:twoCellAnchor>
  <xdr:twoCellAnchor editAs="absolute">
    <xdr:from>
      <xdr:col>9</xdr:col>
      <xdr:colOff>416098</xdr:colOff>
      <xdr:row>7</xdr:row>
      <xdr:rowOff>105292</xdr:rowOff>
    </xdr:from>
    <xdr:to>
      <xdr:col>10</xdr:col>
      <xdr:colOff>77459</xdr:colOff>
      <xdr:row>8</xdr:row>
      <xdr:rowOff>118833</xdr:rowOff>
    </xdr:to>
    <xdr:sp macro="" textlink="'Pivot Report'!$F$5">
      <xdr:nvSpPr>
        <xdr:cNvPr id="79" name="TextBox 78">
          <a:extLst>
            <a:ext uri="{FF2B5EF4-FFF2-40B4-BE49-F238E27FC236}">
              <a16:creationId xmlns:a16="http://schemas.microsoft.com/office/drawing/2014/main" id="{8C9D826B-1941-FB1D-2FFB-8E227B58CD81}"/>
            </a:ext>
          </a:extLst>
        </xdr:cNvPr>
        <xdr:cNvSpPr txBox="1"/>
      </xdr:nvSpPr>
      <xdr:spPr>
        <a:xfrm>
          <a:off x="5890197" y="1396933"/>
          <a:ext cx="269594" cy="198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0B5D8C7E-841D-402A-874B-21C62FA6E6CA}" type="TxLink">
            <a:rPr lang="en-US" sz="1200" b="1" i="0" u="none" strike="noStrike">
              <a:solidFill>
                <a:schemeClr val="bg1"/>
              </a:solidFill>
              <a:latin typeface="Calibri"/>
              <a:ea typeface="Calibri"/>
              <a:cs typeface="Calibri"/>
            </a:rPr>
            <a:pPr/>
            <a:t>513</a:t>
          </a:fld>
          <a:endParaRPr lang="en-IN" sz="1000" b="1">
            <a:solidFill>
              <a:schemeClr val="bg1"/>
            </a:solidFill>
          </a:endParaRPr>
        </a:p>
      </xdr:txBody>
    </xdr:sp>
    <xdr:clientData/>
  </xdr:twoCellAnchor>
  <xdr:twoCellAnchor>
    <xdr:from>
      <xdr:col>11</xdr:col>
      <xdr:colOff>144595</xdr:colOff>
      <xdr:row>4</xdr:row>
      <xdr:rowOff>34192</xdr:rowOff>
    </xdr:from>
    <xdr:to>
      <xdr:col>14</xdr:col>
      <xdr:colOff>122115</xdr:colOff>
      <xdr:row>12</xdr:row>
      <xdr:rowOff>107463</xdr:rowOff>
    </xdr:to>
    <xdr:graphicFrame macro="">
      <xdr:nvGraphicFramePr>
        <xdr:cNvPr id="80" name="Chart 79">
          <a:extLst>
            <a:ext uri="{FF2B5EF4-FFF2-40B4-BE49-F238E27FC236}">
              <a16:creationId xmlns:a16="http://schemas.microsoft.com/office/drawing/2014/main" id="{8C9196AA-47AA-4622-9546-AFE9D8D3AC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11</xdr:col>
      <xdr:colOff>378922</xdr:colOff>
      <xdr:row>4</xdr:row>
      <xdr:rowOff>61273</xdr:rowOff>
    </xdr:from>
    <xdr:to>
      <xdr:col>13</xdr:col>
      <xdr:colOff>422012</xdr:colOff>
      <xdr:row>5</xdr:row>
      <xdr:rowOff>44968</xdr:rowOff>
    </xdr:to>
    <xdr:sp macro="" textlink="">
      <xdr:nvSpPr>
        <xdr:cNvPr id="81" name="TextBox 80">
          <a:extLst>
            <a:ext uri="{FF2B5EF4-FFF2-40B4-BE49-F238E27FC236}">
              <a16:creationId xmlns:a16="http://schemas.microsoft.com/office/drawing/2014/main" id="{3BDA803F-6B77-11D5-7BCC-7D71460D029C}"/>
            </a:ext>
          </a:extLst>
        </xdr:cNvPr>
        <xdr:cNvSpPr txBox="1"/>
      </xdr:nvSpPr>
      <xdr:spPr>
        <a:xfrm>
          <a:off x="7065686" y="797588"/>
          <a:ext cx="1258865" cy="1677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900" b="1">
              <a:solidFill>
                <a:schemeClr val="bg1"/>
              </a:solidFill>
            </a:rPr>
            <a:t>No.</a:t>
          </a:r>
          <a:r>
            <a:rPr lang="en-IN" sz="900" b="1" baseline="0">
              <a:solidFill>
                <a:schemeClr val="bg1"/>
              </a:solidFill>
            </a:rPr>
            <a:t> of Patients by Gender</a:t>
          </a:r>
          <a:endParaRPr lang="en-IN" sz="900" b="1">
            <a:solidFill>
              <a:schemeClr val="bg1"/>
            </a:solidFill>
          </a:endParaRPr>
        </a:p>
      </xdr:txBody>
    </xdr:sp>
    <xdr:clientData/>
  </xdr:twoCellAnchor>
  <xdr:twoCellAnchor editAs="absolute">
    <xdr:from>
      <xdr:col>12</xdr:col>
      <xdr:colOff>278050</xdr:colOff>
      <xdr:row>7</xdr:row>
      <xdr:rowOff>97091</xdr:rowOff>
    </xdr:from>
    <xdr:to>
      <xdr:col>12</xdr:col>
      <xdr:colOff>547644</xdr:colOff>
      <xdr:row>8</xdr:row>
      <xdr:rowOff>110632</xdr:rowOff>
    </xdr:to>
    <xdr:sp macro="" textlink="'Pivot Report'!$F$5">
      <xdr:nvSpPr>
        <xdr:cNvPr id="82" name="TextBox 81">
          <a:extLst>
            <a:ext uri="{FF2B5EF4-FFF2-40B4-BE49-F238E27FC236}">
              <a16:creationId xmlns:a16="http://schemas.microsoft.com/office/drawing/2014/main" id="{62C53037-3C6F-5C34-E86A-34134F3E2048}"/>
            </a:ext>
          </a:extLst>
        </xdr:cNvPr>
        <xdr:cNvSpPr txBox="1"/>
      </xdr:nvSpPr>
      <xdr:spPr>
        <a:xfrm>
          <a:off x="7576848" y="1388732"/>
          <a:ext cx="269594" cy="1980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fld id="{0B5D8C7E-841D-402A-874B-21C62FA6E6CA}" type="TxLink">
            <a:rPr lang="en-US" sz="1200" b="1" i="0" u="none" strike="noStrike">
              <a:solidFill>
                <a:schemeClr val="bg1"/>
              </a:solidFill>
              <a:latin typeface="Calibri"/>
              <a:ea typeface="Calibri"/>
              <a:cs typeface="Calibri"/>
            </a:rPr>
            <a:pPr/>
            <a:t>513</a:t>
          </a:fld>
          <a:endParaRPr lang="en-IN" sz="1000" b="1">
            <a:solidFill>
              <a:schemeClr val="bg1"/>
            </a:solidFill>
          </a:endParaRPr>
        </a:p>
      </xdr:txBody>
    </xdr:sp>
    <xdr:clientData/>
  </xdr:twoCellAnchor>
  <xdr:twoCellAnchor editAs="oneCell">
    <xdr:from>
      <xdr:col>7</xdr:col>
      <xdr:colOff>97552</xdr:colOff>
      <xdr:row>1</xdr:row>
      <xdr:rowOff>55143</xdr:rowOff>
    </xdr:from>
    <xdr:to>
      <xdr:col>9</xdr:col>
      <xdr:colOff>3420</xdr:colOff>
      <xdr:row>3</xdr:row>
      <xdr:rowOff>118126</xdr:rowOff>
    </xdr:to>
    <mc:AlternateContent xmlns:mc="http://schemas.openxmlformats.org/markup-compatibility/2006" xmlns:a14="http://schemas.microsoft.com/office/drawing/2010/main">
      <mc:Choice Requires="a14">
        <xdr:graphicFrame macro="">
          <xdr:nvGraphicFramePr>
            <xdr:cNvPr id="86" name="Date (Year)">
              <a:extLst>
                <a:ext uri="{FF2B5EF4-FFF2-40B4-BE49-F238E27FC236}">
                  <a16:creationId xmlns:a16="http://schemas.microsoft.com/office/drawing/2014/main" id="{9AC397CF-905D-45B0-80A1-DFF788B6EF7B}"/>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4353976" y="239870"/>
              <a:ext cx="1121989" cy="4324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125786</xdr:colOff>
      <xdr:row>0</xdr:row>
      <xdr:rowOff>99954</xdr:rowOff>
    </xdr:from>
    <xdr:to>
      <xdr:col>8</xdr:col>
      <xdr:colOff>582331</xdr:colOff>
      <xdr:row>1</xdr:row>
      <xdr:rowOff>83649</xdr:rowOff>
    </xdr:to>
    <xdr:sp macro="" textlink="">
      <xdr:nvSpPr>
        <xdr:cNvPr id="87" name="TextBox 86">
          <a:extLst>
            <a:ext uri="{FF2B5EF4-FFF2-40B4-BE49-F238E27FC236}">
              <a16:creationId xmlns:a16="http://schemas.microsoft.com/office/drawing/2014/main" id="{F7E9F2B4-A57F-E9BE-284E-196655D753BD}"/>
            </a:ext>
          </a:extLst>
        </xdr:cNvPr>
        <xdr:cNvSpPr txBox="1"/>
      </xdr:nvSpPr>
      <xdr:spPr>
        <a:xfrm>
          <a:off x="4382210" y="99954"/>
          <a:ext cx="1064606" cy="168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en-IN" sz="1100" b="1">
              <a:solidFill>
                <a:schemeClr val="bg1"/>
              </a:solidFill>
            </a:rPr>
            <a:t>Year</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419328706" createdVersion="8" refreshedVersion="8" minRefreshableVersion="3" recordCount="0" supportSubquery="1" supportAdvancedDrill="1" xr:uid="{A6BABB33-FB6E-4840-AB01-9EE275F96435}">
  <cacheSource type="external" connectionId="3"/>
  <cacheFields count="8">
    <cacheField name="[Measures].[Count of Patient Id]" caption="Count of Patient Id" numFmtId="0" hierarchy="23" level="32767"/>
    <cacheField name="[Calendar_Table].[Date (Month)].[Date (Month)]" caption="Date (Month)" numFmtId="0" hierarchy="1" level="1">
      <sharedItems count="10">
        <s v="Jan"/>
        <s v="Feb"/>
        <s v="Mar"/>
        <s v="Apr"/>
        <s v="May"/>
        <s v="Jun"/>
        <s v="Jul"/>
        <s v="Aug"/>
        <s v="Sep"/>
        <s v="Oct"/>
      </sharedItems>
    </cacheField>
    <cacheField name="[Measures].[Distinct Count of Patient Id]" caption="Distinct Count of Patient Id" numFmtId="0" hierarchy="24" level="32767"/>
    <cacheField name="[Measures].[Average of Patient Waittime]" caption="Average of Patient Waittime" numFmtId="0" hierarchy="26" level="32767"/>
    <cacheField name="[Measures].[Average of Patient Satisfaction Score]" caption="Average of Patient Satisfaction Score" numFmtId="0" hierarchy="28" level="32767"/>
    <cacheField name="[Calendar_Table].[Date (Year)].[Date (Year)]" caption="Date (Year)" numFmtId="0" hierarchy="3" level="1">
      <sharedItems containsSemiMixedTypes="0" containsNonDate="0" containsString="0"/>
    </cacheField>
    <cacheField name="[Hospital Emergency Room Data].[Department Referral].[Department Referral]" caption="Department Referral" numFmtId="0" hierarchy="12" level="1">
      <sharedItems containsSemiMixedTypes="0" containsNonDate="0" containsString="0"/>
    </cacheField>
    <cacheField name="Unsupported0" numFmtId="0" hierarchy="34" level="32767">
      <extLst>
        <ext xmlns:x14="http://schemas.microsoft.com/office/spreadsheetml/2009/9/main" uri="{63CAB8AC-B538-458d-9737-405883B0398D}">
          <x14:cacheField ignore="1"/>
        </ext>
      </extLst>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1"/>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5"/>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6"/>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3"/>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4"/>
      </fieldsUsage>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2476852" createdVersion="5" refreshedVersion="8" minRefreshableVersion="3" recordCount="0" supportSubquery="1" supportAdvancedDrill="1" xr:uid="{FA9B527F-180F-4F88-855D-C2188C268B17}">
  <cacheSource type="external" connectionId="3"/>
  <cacheFields count="5">
    <cacheField name="[Calendar_Table].[Date (Day)].[Date (Day)]" caption="Date (Day)" numFmtId="0" hierarchy="2" level="1">
      <sharedItems count="29">
        <s v="1-Feb"/>
        <s v="2-Feb"/>
        <s v="3-Feb"/>
        <s v="4-Feb"/>
        <s v="5-Feb"/>
        <s v="6-Feb"/>
        <s v="7-Feb"/>
        <s v="8-Feb"/>
        <s v="9-Feb"/>
        <s v="10-Feb"/>
        <s v="11-Feb"/>
        <s v="12-Feb"/>
        <s v="13-Feb"/>
        <s v="14-Feb"/>
        <s v="15-Feb"/>
        <s v="16-Feb"/>
        <s v="17-Feb"/>
        <s v="18-Feb"/>
        <s v="19-Feb"/>
        <s v="20-Feb"/>
        <s v="21-Feb"/>
        <s v="22-Feb"/>
        <s v="23-Feb"/>
        <s v="24-Feb"/>
        <s v="25-Feb"/>
        <s v="26-Feb"/>
        <s v="27-Feb"/>
        <s v="28-Feb"/>
        <s v="29-Feb"/>
      </sharedItems>
    </cacheField>
    <cacheField name="[Measures].[Distinct Count of Patient Id]" caption="Distinct Count of Patient Id" numFmtId="0" hierarchy="24" level="32767"/>
    <cacheField name="[Calendar_Table].[Date (Month)].[Date (Month)]" caption="Date (Month)" numFmtId="0" hierarchy="1" level="1">
      <sharedItems count="1">
        <s v="Jan"/>
      </sharedItems>
    </cacheField>
    <cacheField name="[Calendar_Table].[Date (Year)].[Date (Year)]" caption="Date (Year)" numFmtId="0" hierarchy="3" level="1">
      <sharedItems containsSemiMixedTypes="0" containsNonDate="0" containsString="0"/>
    </cacheField>
    <cacheField name="[Hospital Emergency Room Data].[Department Referral].[Department Referral]" caption="Department Referral" numFmtId="0" hierarchy="12"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2"/>
      </fieldsUsage>
    </cacheHierarchy>
    <cacheHierarchy uniqueName="[Calendar_Table].[Date (Day)]" caption="Date (Day)" attribute="1" defaultMemberUniqueName="[Calendar_Table].[Date (Day)].[All]" allUniqueName="[Calendar_Table].[Date (Day)].[All]" dimensionUniqueName="[Calendar_Table]" displayFolder="" count="2" memberValueDatatype="130" unbalanced="0">
      <fieldsUsage count="2">
        <fieldUsage x="-1"/>
        <fieldUsage x="0"/>
      </fieldsUsage>
    </cacheHierarchy>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4"/>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259259" createdVersion="5" refreshedVersion="8" minRefreshableVersion="3" recordCount="0" supportSubquery="1" supportAdvancedDrill="1" xr:uid="{69C70497-27D5-4584-A115-0A19941BFEC1}">
  <cacheSource type="external" connectionId="3"/>
  <cacheFields count="4">
    <cacheField name="[Measures].[Distinct Count of Patient Id]" caption="Distinct Count of Patient Id" numFmtId="0" hierarchy="24" level="32767"/>
    <cacheField name="[Calendar_Table].[Date (Year)].[Date (Year)]" caption="Date (Year)" numFmtId="0" hierarchy="3" level="1">
      <sharedItems containsSemiMixedTypes="0" containsNonDate="0" containsString="0"/>
    </cacheField>
    <cacheField name="[Hospital Emergency Room Data].[Department Referral].[Department Referral]" caption="Department Referral" numFmtId="0" hierarchy="12" level="1">
      <sharedItems containsSemiMixedTypes="0" containsNonDate="0" containsString="0"/>
    </cacheField>
    <cacheField name="[Calendar_Table].[Date (Month)].[Date (Month)]" caption="Date (Month)"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2"/>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2708336" createdVersion="5" refreshedVersion="8" minRefreshableVersion="3" recordCount="0" supportSubquery="1" supportAdvancedDrill="1" xr:uid="{D95EBCA2-DCD3-4738-A8E9-48F9A16E366A}">
  <cacheSource type="external" connectionId="3"/>
  <cacheFields count="4">
    <cacheField name="[Measures].[Average of Patient Waittime]" caption="Average of Patient Waittime" numFmtId="0" hierarchy="26" level="32767"/>
    <cacheField name="[Calendar_Table].[Date (Year)].[Date (Year)]" caption="Date (Year)" numFmtId="0" hierarchy="3" level="1">
      <sharedItems containsSemiMixedTypes="0" containsNonDate="0" containsString="0"/>
    </cacheField>
    <cacheField name="[Hospital Emergency Room Data].[Department Referral].[Department Referral]" caption="Department Referral" numFmtId="0" hierarchy="12" level="1">
      <sharedItems containsSemiMixedTypes="0" containsNonDate="0" containsString="0"/>
    </cacheField>
    <cacheField name="[Calendar_Table].[Date (Month)].[Date (Month)]" caption="Date (Month)"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2"/>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2939814" createdVersion="5" refreshedVersion="8" minRefreshableVersion="3" recordCount="0" supportSubquery="1" supportAdvancedDrill="1" xr:uid="{36FD99AE-9969-4C87-93D4-CC53B2CAAD2B}">
  <cacheSource type="external" connectionId="3"/>
  <cacheFields count="4">
    <cacheField name="[Measures].[Average of Patient Satisfaction Score]" caption="Average of Patient Satisfaction Score" numFmtId="0" hierarchy="28" level="32767"/>
    <cacheField name="[Calendar_Table].[Date (Year)].[Date (Year)]" caption="Date (Year)" numFmtId="0" hierarchy="3" level="1">
      <sharedItems containsSemiMixedTypes="0" containsNonDate="0" containsString="0"/>
    </cacheField>
    <cacheField name="[Hospital Emergency Room Data].[Department Referral].[Department Referral]" caption="Department Referral" numFmtId="0" hierarchy="12" level="1">
      <sharedItems containsSemiMixedTypes="0" containsNonDate="0" containsString="0"/>
    </cacheField>
    <cacheField name="[Calendar_Table].[Date (Month)].[Date (Month)]" caption="Date (Month)"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1"/>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2"/>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3287037" createdVersion="5" refreshedVersion="8" minRefreshableVersion="3" recordCount="0" supportSubquery="1" supportAdvancedDrill="1" xr:uid="{D4B19FCB-41A5-4E73-8515-C39E899C7F13}">
  <cacheSource type="external" connectionId="3"/>
  <cacheFields count="6">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29" level="32767"/>
    <cacheField name="[Calendar_Table].[Date (Year)].[Date (Year)]" caption="Date (Year)" numFmtId="0" hierarchy="3" level="1">
      <sharedItems containsSemiMixedTypes="0" containsNonDate="0" containsString="0"/>
    </cacheField>
    <cacheField name="[Hospital Emergency Room Data].[Department Referral].[Department Referral]" caption="Department Referral" numFmtId="0" hierarchy="12" level="1">
      <sharedItems containsSemiMixedTypes="0" containsNonDate="0" containsString="0"/>
    </cacheField>
    <cacheField name="[Calendar_Table].[Date (Month)].[Date (Month)]" caption="Date (Month)" numFmtId="0" hierarchy="1" level="1">
      <sharedItems containsSemiMixedTypes="0" containsNonDate="0" containsString="0"/>
    </cacheField>
    <cacheField name="Unsupported0" numFmtId="0" hierarchy="34" level="32767">
      <extLst>
        <ext xmlns:x14="http://schemas.microsoft.com/office/spreadsheetml/2009/9/main" uri="{63CAB8AC-B538-458d-9737-405883B0398D}">
          <x14:cacheField ignore="1"/>
        </ext>
      </extLst>
    </cacheField>
  </cacheFields>
  <cacheHierarchies count="35">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4"/>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3"/>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0"/>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oneField="1" hidden="1">
      <fieldsUsage count="1">
        <fieldUsage x="1"/>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363426" createdVersion="5" refreshedVersion="8" minRefreshableVersion="3" recordCount="0" supportSubquery="1" supportAdvancedDrill="1" xr:uid="{7DB39F0E-3002-4CC4-A7A9-C2E2E4A3B6E7}">
  <cacheSource type="external" connectionId="3"/>
  <cacheFields count="5">
    <cacheField name="[Hospital Emergency Room Data].[Age Group].[Age Group]" caption="Age Group" numFmtId="0" hierarchy="16" level="1">
      <sharedItems count="8">
        <s v="0-09"/>
        <s v="10-19"/>
        <s v="20-29"/>
        <s v="30-39"/>
        <s v="40-49"/>
        <s v="50-59"/>
        <s v="60-69"/>
        <s v="70-79"/>
      </sharedItems>
    </cacheField>
    <cacheField name="[Measures].[Count of Age Group]" caption="Count of Age Group" numFmtId="0" hierarchy="30" level="32767"/>
    <cacheField name="[Calendar_Table].[Date (Year)].[Date (Year)]" caption="Date (Year)" numFmtId="0" hierarchy="3" level="1">
      <sharedItems containsSemiMixedTypes="0" containsNonDate="0" containsString="0"/>
    </cacheField>
    <cacheField name="[Hospital Emergency Room Data].[Department Referral].[Department Referral]" caption="Department Referral" numFmtId="0" hierarchy="12" level="1">
      <sharedItems containsSemiMixedTypes="0" containsNonDate="0" containsString="0"/>
    </cacheField>
    <cacheField name="[Calendar_Table].[Date (Month)].[Date (Month)]" caption="Date (Month)"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4"/>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3"/>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0"/>
      </fieldsUsage>
    </cacheHierarchy>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oneField="1" hidden="1">
      <fieldsUsage count="1">
        <fieldUsage x="1"/>
      </fieldsUsage>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4097222" createdVersion="5" refreshedVersion="8" minRefreshableVersion="3" recordCount="0" supportSubquery="1" supportAdvancedDrill="1" xr:uid="{B7EEB6EF-E8BF-4533-8F50-2C0ADA3922AC}">
  <cacheSource type="external" connectionId="3"/>
  <cacheFields count="4">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Average of Patient Waittime]" caption="Average of Patient Waittime" numFmtId="0" hierarchy="26" level="32767"/>
    <cacheField name="[Calendar_Table].[Date (Year)].[Date (Year)]" caption="Date (Year)" numFmtId="0" hierarchy="3" level="1">
      <sharedItems containsSemiMixedTypes="0" containsNonDate="0" containsString="0"/>
    </cacheField>
    <cacheField name="[Calendar_Table].[Date (Month)].[Date (Month)]" caption="Date (Month)"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0"/>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4675923" createdVersion="5" refreshedVersion="8" minRefreshableVersion="3" recordCount="0" supportSubquery="1" supportAdvancedDrill="1" xr:uid="{FC1DABBC-19DD-48E7-A920-07061F2639A4}">
  <cacheSource type="external" connectionId="3"/>
  <cacheFields count="4">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Patient Id]" caption="Count of Patient Id" numFmtId="0" hierarchy="23" level="32767"/>
    <cacheField name="[Calendar_Table].[Date (Year)].[Date (Year)]" caption="Date (Year)" numFmtId="0" hierarchy="3" level="1">
      <sharedItems containsSemiMixedTypes="0" containsNonDate="0" containsString="0"/>
    </cacheField>
    <cacheField name="[Calendar_Table].[Date (Month)].[Date (Month)]" caption="Date (Month)"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3"/>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0"/>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1"/>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5138892" createdVersion="5" refreshedVersion="8" minRefreshableVersion="3" recordCount="0" supportSubquery="1" supportAdvancedDrill="1" xr:uid="{79414DEE-7F64-4AE1-90D8-1A12C900D089}">
  <cacheSource type="external" connectionId="3"/>
  <cacheFields count="5">
    <cacheField name="[Hospital Emergency Room Data].[Calculated Column 1].[Calculated Column 1]" caption="Calculated Column 1" numFmtId="0" hierarchy="17" level="1">
      <sharedItems count="2">
        <s v="Delay"/>
        <s v="Ontime"/>
      </sharedItems>
    </cacheField>
    <cacheField name="[Measures].[Count of Calculated Column 1]" caption="Count of Calculated Column 1" numFmtId="0" hierarchy="32" level="32767"/>
    <cacheField name="[Calendar_Table].[Date (Year)].[Date (Year)]" caption="Date (Year)" numFmtId="0" hierarchy="3" level="1">
      <sharedItems containsSemiMixedTypes="0" containsNonDate="0" containsString="0"/>
    </cacheField>
    <cacheField name="[Hospital Emergency Room Data].[Department Referral].[Department Referral]" caption="Department Referral" numFmtId="0" hierarchy="12" level="1">
      <sharedItems containsSemiMixedTypes="0" containsNonDate="0" containsString="0"/>
    </cacheField>
    <cacheField name="[Calendar_Table].[Date (Month)].[Date (Month)]" caption="Date (Month)"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4"/>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3"/>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2" memberValueDatatype="130" unbalanced="0">
      <fieldsUsage count="2">
        <fieldUsage x="-1"/>
        <fieldUsage x="0"/>
      </fieldsUsage>
    </cacheHierarchy>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oneField="1" hidden="1">
      <fieldsUsage count="1">
        <fieldUsage x="1"/>
      </fieldsUsage>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5601854" createdVersion="5" refreshedVersion="8" minRefreshableVersion="3" recordCount="0" supportSubquery="1" supportAdvancedDrill="1" xr:uid="{08008AF2-B81C-49FC-8494-AB809104CB4E}">
  <cacheSource type="external" connectionId="3"/>
  <cacheFields count="5">
    <cacheField name="[Measures].[Count of Patient Id]" caption="Count of Patient Id" numFmtId="0" hierarchy="23" level="32767"/>
    <cacheField name="[Hospital Emergency Room Data].[Patient Gender].[Patient Gender]" caption="Patient Gender" numFmtId="0" hierarchy="9" level="1">
      <sharedItems count="2">
        <s v="Female"/>
        <s v="Male"/>
      </sharedItems>
    </cacheField>
    <cacheField name="[Calendar_Table].[Date (Year)].[Date (Year)]" caption="Date (Year)" numFmtId="0" hierarchy="3" level="1">
      <sharedItems containsSemiMixedTypes="0" containsNonDate="0" containsString="0"/>
    </cacheField>
    <cacheField name="[Hospital Emergency Room Data].[Department Referral].[Department Referral]" caption="Department Referral" numFmtId="0" hierarchy="12" level="1">
      <sharedItems containsSemiMixedTypes="0" containsNonDate="0" containsString="0"/>
    </cacheField>
    <cacheField name="[Calendar_Table].[Date (Month)].[Date (Month)]" caption="Date (Month)" numFmtId="0" hierarchy="1"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4"/>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2"/>
      </fieldsUsage>
    </cacheHierarchy>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3"/>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1.516596064816" createdVersion="5" refreshedVersion="8" minRefreshableVersion="3" recordCount="0" supportSubquery="1" supportAdvancedDrill="1" xr:uid="{B63A45E8-2361-4487-B828-E2DE4AD26A5D}">
  <cacheSource type="external" connectionId="3"/>
  <cacheFields count="5">
    <cacheField name="[Calendar_Table].[Date (Month)].[Date (Month)]" caption="Date (Month)" numFmtId="0" hierarchy="1" level="1">
      <sharedItems count="1">
        <s v="Jan"/>
      </sharedItems>
    </cacheField>
    <cacheField name="[Calendar_Table].[Date].[Date]" caption="Date" numFmtId="0" level="1">
      <sharedItems containsSemiMixedTypes="0" containsNonDate="0" containsDate="1" containsString="0" minDate="2023-01-01T00:00:00" maxDate="2024-02-01T00:00:00" count="62">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sharedItems>
    </cacheField>
    <cacheField name="[Calendar_Table].[Date (Quarter)].[Date (Quarter)]" caption="Date (Quarter)" numFmtId="0" hierarchy="4" level="1">
      <sharedItems count="1">
        <s v="Qtr1"/>
      </sharedItems>
    </cacheField>
    <cacheField name="[Calendar_Table].[Date (Year)].[Date (Year)]" caption="Date (Year)" numFmtId="0" hierarchy="3" level="1">
      <sharedItems count="1">
        <s v="2024"/>
      </sharedItems>
    </cacheField>
    <cacheField name="[Hospital Emergency Room Data].[Department Referral].[Department Referral]" caption="Department Referral" numFmtId="0" hierarchy="12" level="1">
      <sharedItems containsSemiMixedTypes="0" containsNonDate="0" containsString="0"/>
    </cacheField>
  </cacheFields>
  <cacheHierarchies count="34">
    <cacheHierarchy uniqueName="[Calendar_Table].[Date]" caption="Date" attribute="1" time="1" defaultMemberUniqueName="[Calendar_Table].[Date].[All]" allUniqueName="[Calendar_Table].[Date].[All]" dimensionUniqueName="[Calendar_Table]" displayFolder="" count="2" memberValueDatatype="7" unbalanced="0">
      <fieldsUsage count="2">
        <fieldUsage x="-1"/>
        <fieldUsage x="1"/>
      </fieldsUsage>
    </cacheHierarchy>
    <cacheHierarchy uniqueName="[Calendar_Table].[Date (Month)]" caption="Date (Month)" attribute="1" defaultMemberUniqueName="[Calendar_Table].[Date (Month)].[All]" allUniqueName="[Calendar_Table].[Date (Month)].[All]" dimensionUniqueName="[Calendar_Table]" displayFolder="" count="2" memberValueDatatype="130" unbalanced="0">
      <fieldsUsage count="2">
        <fieldUsage x="-1"/>
        <fieldUsage x="0"/>
      </fieldsUsage>
    </cacheHierarchy>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fieldsUsage count="2">
        <fieldUsage x="-1"/>
        <fieldUsage x="3"/>
      </fieldsUsage>
    </cacheHierarchy>
    <cacheHierarchy uniqueName="[Calendar_Table].[Date (Quarter)]" caption="Date (Quarter)" attribute="1" defaultMemberUniqueName="[Calendar_Table].[Date (Quarter)].[All]" allUniqueName="[Calendar_Table].[Date (Quarter)].[All]" dimensionUniqueName="[Calendar_Table]" displayFolder="" count="2" memberValueDatatype="130" unbalanced="0">
      <fieldsUsage count="2">
        <fieldUsage x="-1"/>
        <fieldUsage x="2"/>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4"/>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dimensions count="3">
    <dimension name="Calendar_Table" uniqueName="[Calendar_Table]" caption="Calendar_Table"/>
    <dimension name="Hospital Emergency Room Data" uniqueName="[Hospital Emergency Room Data]" caption="Hospital Emergency Room Data"/>
    <dimension measure="1" name="Measures" uniqueName="[Measures]" caption="Measures"/>
  </dimensions>
  <measureGroups count="2">
    <measureGroup name="Calendar_Table" caption="Calendar_Tabl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AD" refreshedDate="46300.743548379629" createdVersion="3" refreshedVersion="8" minRefreshableVersion="3" recordCount="0" supportSubquery="1" supportAdvancedDrill="1" xr:uid="{1A8FE40E-B9D3-4D24-98B3-2620CCE85758}">
  <cacheSource type="external" connectionId="3">
    <extLst>
      <ext xmlns:x14="http://schemas.microsoft.com/office/spreadsheetml/2009/9/main" uri="{F057638F-6D5F-4e77-A914-E7F072B9BCA8}">
        <x14:sourceConnection name="ThisWorkbookDataModel"/>
      </ext>
    </extLst>
  </cacheSource>
  <cacheFields count="0"/>
  <cacheHierarchies count="34">
    <cacheHierarchy uniqueName="[Calendar_Table].[Date]" caption="Date" attribute="1" time="1" defaultMemberUniqueName="[Calendar_Table].[Date].[All]" allUniqueName="[Calendar_Table].[Date].[All]" dimensionUniqueName="[Calendar_Table]" displayFolder="" count="0" memberValueDatatype="7" unbalanced="0"/>
    <cacheHierarchy uniqueName="[Calendar_Table].[Date (Month)]" caption="Date (Month)" attribute="1" defaultMemberUniqueName="[Calendar_Table].[Date (Month)].[All]" allUniqueName="[Calendar_Table].[Date (Month)].[All]" dimensionUniqueName="[Calendar_Table]" displayFolder="" count="2" memberValueDatatype="130" unbalanced="0"/>
    <cacheHierarchy uniqueName="[Calendar_Table].[Date (Day)]" caption="Date (Day)" attribute="1" defaultMemberUniqueName="[Calendar_Table].[Date (Day)].[All]" allUniqueName="[Calendar_Table].[Date (Day)].[All]" dimensionUniqueName="[Calendar_Table]" displayFolder="" count="0" memberValueDatatype="130" unbalanced="0"/>
    <cacheHierarchy uniqueName="[Calendar_Table].[Date (Year)]" caption="Date (Year)" attribute="1" defaultMemberUniqueName="[Calendar_Table].[Date (Year)].[All]" allUniqueName="[Calendar_Table].[Date (Year)].[All]" dimensionUniqueName="[Calendar_Table]" displayFolder="" count="2" memberValueDatatype="130" unbalanced="0"/>
    <cacheHierarchy uniqueName="[Calendar_Table].[Date (Quarter)]" caption="Date (Quarter)" attribute="1" defaultMemberUniqueName="[Calendar_Table].[Date (Quarter)].[All]" allUniqueName="[Calendar_Table].[Date (Quarter)].[All]" dimensionUniqueName="[Calendar_Tabl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Calculated Column 1]" caption="Calculated Column 1" attribute="1" defaultMemberUniqueName="[Hospital Emergency Room Data].[Calculated Column 1].[All]" allUniqueName="[Hospital Emergency Room Data].[Calculated Column 1].[All]" dimensionUniqueName="[Hospital Emergency Room Data]" displayFolder="" count="0" memberValueDatatype="130" unbalanced="0"/>
    <cacheHierarchy uniqueName="[Calendar_Table].[Date (Day Index)]" caption="Date (Day Index)" attribute="1" defaultMemberUniqueName="[Calendar_Table].[Date (Day Index)].[All]" allUniqueName="[Calendar_Table].[Date (Day Index)].[All]" dimensionUniqueName="[Calendar_Table]" displayFolder="" count="0" memberValueDatatype="5" unbalanced="0" hidden="1"/>
    <cacheHierarchy uniqueName="[Calendar_Table].[Date (Month Index)]" caption="Date (Month Index)" attribute="1" defaultMemberUniqueName="[Calendar_Table].[Date (Month Index)].[All]" allUniqueName="[Calendar_Table].[Date (Month Index)].[All]" dimensionUniqueName="[Calendar_Tabl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ar_Table]" caption="__XL_Count Calendar_Table" measure="1" displayFolder="" measureGroup="Calendar_Tabl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dmission Time]" caption="Count of Patient Admission Time" measure="1" displayFolder="" measureGroup="Hospital Emergency Room Data" count="0" hidden="1">
      <extLst>
        <ext xmlns:x15="http://schemas.microsoft.com/office/spreadsheetml/2010/11/main" uri="{B97F6D7D-B522-45F9-BDA1-12C45D357490}">
          <x15:cacheHierarchy aggregatedColumn="7"/>
        </ext>
      </extLst>
    </cacheHierarchy>
    <cacheHierarchy uniqueName="[Measures].[Count of Calculated Column 1]" caption="Count of Calculated Column 1"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Date (Year)]" caption="Count of Date (Year)" measure="1" displayFolder="" measureGroup="Calendar_Table"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747391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1A70B9-E1A7-4CCF-A248-6AEB5DCAC085}" name="PivotTable6" cacheId="795" applyNumberFormats="0" applyBorderFormats="0" applyFontFormats="0" applyPatternFormats="0" applyAlignmentFormats="0" applyWidthHeightFormats="1" dataCaption="Values" tag="27de09e6-0636-41e4-8474-a8af1a7e350e" updatedVersion="8" minRefreshableVersion="3" subtotalHiddenItems="1" colGrandTotals="0" itemPrintTitles="1" createdVersion="5" indent="0" outline="1" outlineData="1" multipleFieldFilters="0" chartFormat="3">
  <location ref="A18:C21" firstHeaderRow="0" firstDataRow="1" firstDataCol="1"/>
  <pivotFields count="6">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3">
    <i>
      <x/>
    </i>
    <i>
      <x v="1"/>
    </i>
    <i t="grand">
      <x/>
    </i>
  </rowItems>
  <colFields count="1">
    <field x="-2"/>
  </colFields>
  <colItems count="2">
    <i>
      <x/>
    </i>
    <i i="1">
      <x v="1"/>
    </i>
  </colItems>
  <dataFields count="2">
    <dataField name="Count of Patient Admission Flag" fld="1" subtotal="count" baseField="0" baseItem="0"/>
    <dataField name="Count of Patient Admission Flag2" fld="5" subtotal="count" showDataAs="percentOfTotal" baseField="0" baseItem="0" numFmtId="10">
      <extLst>
        <ext xmlns:x14="http://schemas.microsoft.com/office/spreadsheetml/2009/9/main" uri="{E15A36E0-9728-4e99-A89B-3F7291B0FE68}">
          <x14:dataField sourceField="1" uniqueName="[__Xl2].[Measures].[Count of Patient Admission Flag]"/>
        </ext>
      </extLst>
    </dataField>
  </dataFields>
  <formats count="2">
    <format dxfId="37">
      <pivotArea outline="0" collapsedLevelsAreSubtotals="1" fieldPosition="0"/>
    </format>
    <format dxfId="36">
      <pivotArea outline="0" fieldPosition="0">
        <references count="1">
          <reference field="4294967294" count="1">
            <x v="1"/>
          </reference>
        </references>
      </pivotArea>
    </format>
  </formats>
  <pivotHierarchies count="35">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spital Emergency Room Data].[Department Referral].&amp;[Cardiology]"/>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8767B8B-2AEC-46FE-9244-5CD1A5BB1818}" name="PivotTable7" cacheId="798" applyNumberFormats="0" applyBorderFormats="0" applyFontFormats="0" applyPatternFormats="0" applyAlignmentFormats="0" applyWidthHeightFormats="1" dataCaption="Values" tag="27de09e6-0636-41e4-8474-a8af1a7e350e" updatedVersion="8" minRefreshableVersion="3" subtotalHiddenItems="1" colGrandTotals="0" itemPrintTitles="1" createdVersion="5" indent="0" outline="1" outlineData="1" multipleFieldFilters="0" chartFormat="17">
  <location ref="A35:B44" firstHeaderRow="1" firstDataRow="1" firstDataCol="1"/>
  <pivotFields count="5">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i>
    <i>
      <x v="1"/>
    </i>
    <i>
      <x v="2"/>
    </i>
    <i>
      <x v="3"/>
    </i>
    <i>
      <x v="4"/>
    </i>
    <i>
      <x v="5"/>
    </i>
    <i>
      <x v="6"/>
    </i>
    <i>
      <x v="7"/>
    </i>
    <i t="grand">
      <x/>
    </i>
  </rowItems>
  <colItems count="1">
    <i/>
  </colItems>
  <dataFields count="1">
    <dataField name="Count of Age Group" fld="1" subtotal="count" baseField="0" baseItem="0"/>
  </dataFields>
  <formats count="2">
    <format dxfId="39">
      <pivotArea outline="0" collapsedLevelsAreSubtotals="1" fieldPosition="0"/>
    </format>
    <format dxfId="38">
      <pivotArea collapsedLevelsAreSubtotals="1" fieldPosition="0">
        <references count="1">
          <reference field="0" count="0"/>
        </references>
      </pivotArea>
    </format>
  </formats>
  <chartFormats count="1">
    <chartFormat chart="6"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spital Emergency Room Data].[Department Referral].&amp;[Cardiology]"/>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096A6A8-CCAB-478D-B2D7-9E70FFE3CEDF}" name="PivotTable9" cacheId="804" applyNumberFormats="0" applyBorderFormats="0" applyFontFormats="0" applyPatternFormats="0" applyAlignmentFormats="0" applyWidthHeightFormats="1" dataCaption="Values" tag="27de09e6-0636-41e4-8474-a8af1a7e350e" updatedVersion="8" minRefreshableVersion="3" subtotalHiddenItems="1" colGrandTotals="0" itemPrintTitles="1" createdVersion="5" indent="0" outline="1" outlineData="1" multipleFieldFilters="0" chartFormat="30">
  <location ref="F47:G56" firstHeaderRow="1" firstDataRow="1" firstDataCol="1"/>
  <pivotFields count="4">
    <pivotField axis="axisRow" allDrilled="1" subtotalTop="0" showAll="0" sortType="ascending" dataSourceSort="1"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v="1"/>
    </i>
    <i>
      <x v="7"/>
    </i>
    <i>
      <x v="3"/>
    </i>
    <i>
      <x v="6"/>
    </i>
    <i>
      <x/>
    </i>
    <i>
      <x v="5"/>
    </i>
    <i>
      <x v="2"/>
    </i>
    <i>
      <x v="4"/>
    </i>
    <i t="grand">
      <x/>
    </i>
  </rowItems>
  <colItems count="1">
    <i/>
  </colItems>
  <dataFields count="1">
    <dataField name="Count of Patient Id" fld="1" subtotal="count" baseField="0" baseItem="0"/>
  </dataFields>
  <formats count="2">
    <format dxfId="41">
      <pivotArea outline="0" collapsedLevelsAreSubtotals="1" fieldPosition="0"/>
    </format>
    <format dxfId="40">
      <pivotArea collapsedLevelsAreSubtotals="1" fieldPosition="0">
        <references count="1">
          <reference field="0" count="0"/>
        </references>
      </pivotArea>
    </format>
  </formats>
  <chartFormats count="1">
    <chartFormat chart="28"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1BCC42E-E545-4D24-BB36-0CA679BEA5B8}" name="PivotTable14" cacheId="813" applyNumberFormats="0" applyBorderFormats="0" applyFontFormats="0" applyPatternFormats="0" applyAlignmentFormats="0" applyWidthHeightFormats="1" dataCaption="Values" tag="27de09e6-0636-41e4-8474-a8af1a7e350e" updatedVersion="8" minRefreshableVersion="3" subtotalHiddenItems="1" colGrandTotals="0" itemPrintTitles="1" createdVersion="5" indent="0" outline="1" outlineData="1" multipleFieldFilters="0" chartFormat="17">
  <location ref="A47:A49" firstHeaderRow="1" firstDataRow="1" firstDataCol="1"/>
  <pivotFields count="5">
    <pivotField axis="axisRow" allDrilled="1" subtotalTop="0" showAll="0" dataSourceSort="1" defaultSubtotal="0">
      <items count="1">
        <item s="1" x="0" e="0"/>
      </items>
    </pivotField>
    <pivotField axis="axisRow" allDrilled="1" subtotalTop="0" showAll="0" dataSourceSort="1" defaultSubtotal="0" defaultAttributeDrillState="1">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allDrilled="1" subtotalTop="0" showAll="0" dataSourceSort="1" defaultSubtotal="0">
      <items count="1">
        <item x="0" e="0"/>
      </items>
    </pivotField>
    <pivotField axis="axisRow" allDrilled="1" subtotalTop="0" showAll="0" dataSourceSort="1" defaultSubtotal="0">
      <items count="1">
        <item s="1" x="0" e="0"/>
      </items>
    </pivotField>
    <pivotField allDrilled="1" subtotalTop="0" showAll="0" dataSourceSort="1" defaultSubtotal="0" defaultAttributeDrillState="1"/>
  </pivotFields>
  <rowFields count="4">
    <field x="3"/>
    <field x="2"/>
    <field x="0"/>
    <field x="1"/>
  </rowFields>
  <rowItems count="2">
    <i>
      <x/>
    </i>
    <i t="grand">
      <x/>
    </i>
  </rowItems>
  <formats count="1">
    <format dxfId="42">
      <pivotArea outline="0" collapsedLevelsAreSubtotals="1" fieldPosition="0"/>
    </format>
  </formats>
  <pivotHierarchies count="3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spital Emergency Room Data].[Department Referral].&amp;[Cardiology]"/>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858C09-9E31-40C1-8ABE-4164437DDA76}" name="PivotTable5" cacheId="603" applyNumberFormats="0" applyBorderFormats="0" applyFontFormats="0" applyPatternFormats="0" applyAlignmentFormats="0" applyWidthHeightFormats="1" dataCaption="Values" tag="6d88eb8d-ddc9-4549-808c-642aa718e555" updatedVersion="8" minRefreshableVersion="3" subtotalHiddenItems="1" rowGrandTotals="0" colGrandTotals="0" itemPrintTitles="1" createdVersion="8" indent="0" outline="1" outlineData="1" multipleFieldFilters="0">
  <location ref="I4:N14" firstHeaderRow="0" firstDataRow="1" firstDataCol="1"/>
  <pivotFields count="8">
    <pivotField dataField="1" subtotalTop="0" showAll="0" defaultSubtotal="0"/>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0">
    <i>
      <x/>
    </i>
    <i>
      <x v="1"/>
    </i>
    <i>
      <x v="2"/>
    </i>
    <i>
      <x v="3"/>
    </i>
    <i>
      <x v="4"/>
    </i>
    <i>
      <x v="5"/>
    </i>
    <i>
      <x v="6"/>
    </i>
    <i>
      <x v="7"/>
    </i>
    <i>
      <x v="8"/>
    </i>
    <i>
      <x v="9"/>
    </i>
  </rowItems>
  <colFields count="1">
    <field x="-2"/>
  </colFields>
  <colItems count="5">
    <i>
      <x/>
    </i>
    <i i="1">
      <x v="1"/>
    </i>
    <i i="2">
      <x v="2"/>
    </i>
    <i i="3">
      <x v="3"/>
    </i>
    <i i="4">
      <x v="4"/>
    </i>
  </colItems>
  <dataFields count="5">
    <dataField name="Count of Patient Id" fld="0" subtotal="count" baseField="0" baseItem="0"/>
    <dataField name="Distinct Count of Patient Id" fld="2" subtotal="count" showDataAs="percentDiff" baseField="1" baseItem="1048828" numFmtId="164">
      <extLst>
        <ext xmlns:x15="http://schemas.microsoft.com/office/spreadsheetml/2010/11/main" uri="{FABC7310-3BB5-11E1-824E-6D434824019B}">
          <x15:dataField isCountDistinct="1"/>
        </ext>
      </extLst>
    </dataField>
    <dataField name="Count of Patient Id2" fld="7" subtotal="count" baseField="0" baseItem="0">
      <extLst>
        <ext xmlns:x14="http://schemas.microsoft.com/office/spreadsheetml/2009/9/main" uri="{E15A36E0-9728-4e99-A89B-3F7291B0FE68}">
          <x14:dataField sourceField="0" uniqueName="[__Xl2].[Measures].[Count of Patient Id]"/>
        </ext>
      </extLst>
    </dataField>
    <dataField name="Average of Patient Waittime" fld="3" subtotal="average" showDataAs="percentDiff" baseField="1" baseItem="1048828" numFmtId="164"/>
    <dataField name="Average of Patient Satisfaction Score" fld="4" subtotal="average" showDataAs="percentDiff" baseField="1" baseItem="1048828" numFmtId="164"/>
  </dataFields>
  <formats count="2">
    <format dxfId="44">
      <pivotArea collapsedLevelsAreSubtotals="1" fieldPosition="0">
        <references count="2">
          <reference field="4294967294" count="1" selected="0">
            <x v="1"/>
          </reference>
          <reference field="1" count="1">
            <x v="1"/>
          </reference>
        </references>
      </pivotArea>
    </format>
    <format dxfId="43">
      <pivotArea collapsedLevelsAreSubtotals="1" fieldPosition="0">
        <references count="2">
          <reference field="4294967294" count="1" selected="0">
            <x v="3"/>
          </reference>
          <reference field="1" count="1">
            <x v="0"/>
          </reference>
        </references>
      </pivotArea>
    </format>
  </formats>
  <pivotHierarchies count="35">
    <pivotHierarchy dragToData="1"/>
    <pivotHierarchy multipleItemSelectionAllowed="1" dragToData="1"/>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spital Emergency Room Data].[Department Referral].&amp;[Cardiology]"/>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ar_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FED516-B521-4EB8-95F5-995C4B86A408}" name="PivotTable2" cacheId="789" applyNumberFormats="0" applyBorderFormats="0" applyFontFormats="0" applyPatternFormats="0" applyAlignmentFormats="0" applyWidthHeightFormats="1" dataCaption="Values" tag="aebc68b2-9976-4be9-8c6f-24925a7b7a0b" updatedVersion="8" minRefreshableVersion="3" subtotalHiddenItems="1" rowGrandTotals="0" colGrandTotals="0" itemPrintTitles="1" createdVersion="5" indent="0" outline="1" outlineData="1" multipleFieldFilters="0">
  <location ref="A8:A9"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45">
      <pivotArea outline="0" collapsedLevelsAreSubtotals="1" fieldPosition="0"/>
    </format>
  </formats>
  <pivotHierarchies count="34">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spital Emergency Room Data].[Department Referral].&amp;[Cardiology]"/>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B5B68D7-2123-44AC-815A-B2086839BE1A}" name="PivotTable3" cacheId="792" applyNumberFormats="0" applyBorderFormats="0" applyFontFormats="0" applyPatternFormats="0" applyAlignmentFormats="0" applyWidthHeightFormats="1" dataCaption="Values" tag="27de09e6-0636-41e4-8474-a8af1a7e350e" updatedVersion="8" minRefreshableVersion="3" subtotalHiddenItems="1" rowGrandTotals="0" colGrandTotals="0" itemPrintTitles="1" createdVersion="5" indent="0" outline="1" outlineData="1" multipleFieldFilters="0">
  <location ref="A12:A13"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46">
      <pivotArea outline="0" collapsedLevelsAreSubtotals="1" fieldPosition="0"/>
    </format>
  </formats>
  <pivotHierarchies count="34">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spital Emergency Room Data].[Department Referral].&amp;[Cardiology]"/>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6978231-B6D0-4F57-A077-77DB1EA9D235}" name="PivotTable1" cacheId="786" applyNumberFormats="0" applyBorderFormats="0" applyFontFormats="0" applyPatternFormats="0" applyAlignmentFormats="0" applyWidthHeightFormats="1" dataCaption="Values" tag="d8db111d-06bb-4e37-beba-2e6b0dc83dcc" updatedVersion="8" minRefreshableVersion="3" subtotalHiddenItems="1" rowGrandTotals="0" colGrandTotals="0" itemPrintTitles="1" createdVersion="5" indent="0" outline="1" outlineData="1" multipleFieldFilters="0">
  <location ref="A4:A5"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4">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spital Emergency Room Data].[Department Referral].&amp;[Cardiology]"/>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05E5B11-8EC3-4343-A787-181D65B93B62}" name="PivotTable8" cacheId="801" applyNumberFormats="0" applyBorderFormats="0" applyFontFormats="0" applyPatternFormats="0" applyAlignmentFormats="0" applyWidthHeightFormats="1" dataCaption="Values" tag="27de09e6-0636-41e4-8474-a8af1a7e350e" updatedVersion="8" minRefreshableVersion="3" subtotalHiddenItems="1" colGrandTotals="0" itemPrintTitles="1" createdVersion="5" indent="0" outline="1" outlineData="1" multipleFieldFilters="0" chartFormat="25">
  <location ref="F35:G44" firstHeaderRow="1" firstDataRow="1" firstDataCol="1"/>
  <pivotFields count="4">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9">
    <i>
      <x/>
    </i>
    <i>
      <x v="1"/>
    </i>
    <i>
      <x v="2"/>
    </i>
    <i>
      <x v="3"/>
    </i>
    <i>
      <x v="4"/>
    </i>
    <i>
      <x v="5"/>
    </i>
    <i>
      <x v="6"/>
    </i>
    <i>
      <x v="7"/>
    </i>
    <i t="grand">
      <x/>
    </i>
  </rowItems>
  <colItems count="1">
    <i/>
  </colItems>
  <dataFields count="1">
    <dataField name="Average of Patient Waittime" fld="1" subtotal="average" baseField="0" baseItem="0"/>
  </dataFields>
  <formats count="1">
    <format dxfId="47">
      <pivotArea outline="0" collapsedLevelsAreSubtotals="1" fieldPosition="0"/>
    </format>
  </formats>
  <chartFormats count="1">
    <chartFormat chart="24"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22A36E2-659E-4DD0-94E1-677FAE75A2C1}" name="PivotTable4" cacheId="783" applyNumberFormats="0" applyBorderFormats="0" applyFontFormats="0" applyPatternFormats="0" applyAlignmentFormats="0" applyWidthHeightFormats="1" dataCaption="Values" tag="39fe36ca-a40f-4ccd-a9d3-ead546db9f8d" updatedVersion="8" minRefreshableVersion="3" subtotalHiddenItems="1" rowGrandTotals="0" colGrandTotals="0" itemPrintTitles="1" createdVersion="5" indent="0" outline="1" outlineData="1" multipleFieldFilters="0" chartFormat="9">
  <location ref="E4:F5" firstHeaderRow="1" firstDataRow="1" firstDataCol="1"/>
  <pivotFields count="5">
    <pivotField allDrilled="1" subtotalTop="0" showAll="0" sortType="ascending" defaultSubtotal="0" defaultAttributeDrillState="1">
      <items count="29">
        <item x="9"/>
        <item x="10"/>
        <item x="11"/>
        <item x="12"/>
        <item x="13"/>
        <item x="14"/>
        <item x="15"/>
        <item x="16"/>
        <item x="17"/>
        <item x="18"/>
        <item x="0"/>
        <item x="19"/>
        <item x="20"/>
        <item x="21"/>
        <item x="22"/>
        <item x="23"/>
        <item x="24"/>
        <item x="25"/>
        <item x="26"/>
        <item x="27"/>
        <item x="28"/>
        <item x="1"/>
        <item x="2"/>
        <item x="3"/>
        <item x="4"/>
        <item x="5"/>
        <item x="6"/>
        <item x="7"/>
        <item x="8"/>
      </items>
    </pivotField>
    <pivotField dataField="1" subtotalTop="0" showAll="0" defaultSubtotal="0"/>
    <pivotField axis="axisRow" allDrilled="1" subtotalTop="0" showAll="0" dataSourceSort="1" defaultSubtotal="0" defaultAttributeDrillState="1">
      <items count="1">
        <item s="1" x="0"/>
      </items>
    </pivotField>
    <pivotField allDrilled="1" subtotalTop="0" showAll="0" dataSourceSort="1" defaultSubtotal="0" defaultAttributeDrillState="1"/>
    <pivotField allDrilled="1" subtotalTop="0" showAll="0" dataSourceSort="1" defaultSubtotal="0" defaultAttributeDrillState="1"/>
  </pivotFields>
  <rowFields count="1">
    <field x="2"/>
  </rowFields>
  <rowItems count="1">
    <i>
      <x/>
    </i>
  </rowItems>
  <colItems count="1">
    <i/>
  </colItems>
  <dataFields count="1">
    <dataField name="Distinct Count of Patient Id" fld="1" subtotal="count" baseField="0" baseItem="0">
      <extLst>
        <ext xmlns:x15="http://schemas.microsoft.com/office/spreadsheetml/2010/11/main" uri="{FABC7310-3BB5-11E1-824E-6D434824019B}">
          <x15:dataField isCountDistinct="1"/>
        </ext>
      </extLst>
    </dataField>
  </dataFields>
  <pivotHierarchies count="34">
    <pivotHierarchy dragToData="1"/>
    <pivotHierarchy multipleItemSelectionAllowed="1" dragToData="1"/>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spital Emergency Room Data].[Department Referral].&amp;[Cardiology]"/>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1B34D3-ABBD-49BE-B557-F72EF072C31D}" name="PivotTable11" cacheId="810" applyNumberFormats="0" applyBorderFormats="0" applyFontFormats="0" applyPatternFormats="0" applyAlignmentFormats="0" applyWidthHeightFormats="1" dataCaption="Values" tag="27de09e6-0636-41e4-8474-a8af1a7e350e" updatedVersion="8" minRefreshableVersion="3" subtotalHiddenItems="1" colGrandTotals="0" itemPrintTitles="1" createdVersion="5" indent="0" outline="1" outlineData="1" multipleFieldFilters="0" chartFormat="41">
  <location ref="F67:G70" firstHeaderRow="1" firstDataRow="1" firstDataCol="1"/>
  <pivotFields count="5">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Id" fld="0" subtotal="count" baseField="0" baseItem="0"/>
  </dataFields>
  <formats count="1">
    <format dxfId="48">
      <pivotArea outline="0" collapsedLevelsAreSubtotals="1" fieldPosition="0"/>
    </format>
  </formats>
  <chartFormats count="3">
    <chartFormat chart="40" format="5" series="1">
      <pivotArea type="data" outline="0" fieldPosition="0">
        <references count="1">
          <reference field="4294967294" count="1" selected="0">
            <x v="0"/>
          </reference>
        </references>
      </pivotArea>
    </chartFormat>
    <chartFormat chart="40" format="6">
      <pivotArea type="data" outline="0" fieldPosition="0">
        <references count="2">
          <reference field="4294967294" count="1" selected="0">
            <x v="0"/>
          </reference>
          <reference field="1" count="1" selected="0">
            <x v="0"/>
          </reference>
        </references>
      </pivotArea>
    </chartFormat>
    <chartFormat chart="40" format="7">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spital Emergency Room Data].[Department Referral].&amp;[Cardiology]"/>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E0A7CFE-6513-4A04-92A2-F22A6B683E89}" name="PivotTable10" cacheId="807" applyNumberFormats="0" applyBorderFormats="0" applyFontFormats="0" applyPatternFormats="0" applyAlignmentFormats="0" applyWidthHeightFormats="1" dataCaption="Values" tag="27de09e6-0636-41e4-8474-a8af1a7e350e" updatedVersion="8" minRefreshableVersion="3" subtotalHiddenItems="1" colGrandTotals="0" itemPrintTitles="1" createdVersion="5" indent="0" outline="1" outlineData="1" multipleFieldFilters="0" chartFormat="37">
  <location ref="F60:G63" firstHeaderRow="1" firstDataRow="1" firstDataCol="1"/>
  <pivotFields count="5">
    <pivotField axis="axisRow" allDrilled="1" subtotalTop="0" showAll="0" defaultSubtotal="0" defaultAttributeDrillState="1">
      <items count="2">
        <item x="1"/>
        <item x="0"/>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Count of Calculated Column 1" fld="1" subtotal="count" baseField="0" baseItem="0" numFmtId="1"/>
  </dataFields>
  <formats count="1">
    <format dxfId="49">
      <pivotArea outline="0" collapsedLevelsAreSubtotals="1" fieldPosition="0"/>
    </format>
  </formats>
  <chartFormats count="3">
    <chartFormat chart="35" format="4" series="1">
      <pivotArea type="data" outline="0" fieldPosition="0">
        <references count="1">
          <reference field="4294967294" count="1" selected="0">
            <x v="0"/>
          </reference>
        </references>
      </pivotArea>
    </chartFormat>
    <chartFormat chart="35" format="5">
      <pivotArea type="data" outline="0" fieldPosition="0">
        <references count="2">
          <reference field="4294967294" count="1" selected="0">
            <x v="0"/>
          </reference>
          <reference field="0" count="1" selected="0">
            <x v="1"/>
          </reference>
        </references>
      </pivotArea>
    </chartFormat>
    <chartFormat chart="35" format="6">
      <pivotArea type="data" outline="0" fieldPosition="0">
        <references count="2">
          <reference field="4294967294" count="1" selected="0">
            <x v="0"/>
          </reference>
          <reference field="0" count="1" selected="0">
            <x v="0"/>
          </reference>
        </references>
      </pivotArea>
    </chartFormat>
  </chartFormats>
  <pivotHierarchies count="34">
    <pivotHierarchy dragToData="1"/>
    <pivotHierarchy multipleItemSelectionAllowed="1" dragToData="1">
      <members count="1" level="1">
        <member name="[Calendar_Table].[Date (Month)].&amp;[Jan]"/>
      </members>
    </pivotHierarchy>
    <pivotHierarchy dragToData="1"/>
    <pivotHierarchy multipleItemSelectionAllowed="1" dragToData="1">
      <members count="1" level="1">
        <member name="[Calendar_Table].[Date (Year)].&amp;[2024]"/>
      </members>
    </pivotHierarchy>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Hospital Emergency Room Data].[Department Referral].&amp;[Cardiology]"/>
      </members>
    </pivotHierarchy>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_Table]"/>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3CBEF194-78AB-4CD4-96B8-CBFB71791EC0}" sourceName="[Calendar_Table].[Date (Month)]">
  <pivotTables>
    <pivotTable tabId="1" name="PivotTable4"/>
    <pivotTable tabId="1" name="PivotTable1"/>
    <pivotTable tabId="1" name="PivotTable2"/>
    <pivotTable tabId="1" name="PivotTable3"/>
    <pivotTable tabId="1" name="PivotTable6"/>
    <pivotTable tabId="1" name="PivotTable7"/>
    <pivotTable tabId="1" name="PivotTable8"/>
    <pivotTable tabId="1" name="PivotTable9"/>
    <pivotTable tabId="1" name="PivotTable10"/>
    <pivotTable tabId="1" name="PivotTable11"/>
    <pivotTable tabId="1" name="PivotTable14"/>
  </pivotTables>
  <data>
    <olap pivotCacheId="74739191">
      <levels count="2">
        <level uniqueName="[Calendar_Table].[Date (Month)].[(All)]" sourceCaption="(All)" count="0"/>
        <level uniqueName="[Calendar_Table].[Date (Month)].[Date (Month)]" sourceCaption="Date (Month)" count="12">
          <ranges>
            <range startItem="0">
              <i n="[Calendar_Table].[Date (Month)].&amp;[Jan]" c="Jan"/>
              <i n="[Calendar_Table].[Date (Month)].&amp;[Feb]" c="Feb"/>
              <i n="[Calendar_Table].[Date (Month)].&amp;[Mar]" c="Mar"/>
              <i n="[Calendar_Table].[Date (Month)].&amp;[Apr]" c="Apr"/>
              <i n="[Calendar_Table].[Date (Month)].&amp;[May]" c="May"/>
              <i n="[Calendar_Table].[Date (Month)].&amp;[Jun]" c="Jun"/>
              <i n="[Calendar_Table].[Date (Month)].&amp;[Jul]" c="Jul"/>
              <i n="[Calendar_Table].[Date (Month)].&amp;[Aug]" c="Aug"/>
              <i n="[Calendar_Table].[Date (Month)].&amp;[Sep]" c="Sep"/>
              <i n="[Calendar_Table].[Date (Month)].&amp;[Oct]" c="Oct"/>
              <i n="[Calendar_Table].[Date (Month)].&amp;[Nov]" c="Nov"/>
              <i n="[Calendar_Table].[Date (Month)].&amp;[Dec]" c="Dec"/>
            </range>
          </ranges>
        </level>
      </levels>
      <selections count="1">
        <selection n="[Calendar_Table].[Date (Month)].&amp;[Jan]"/>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0C5B4114-AE17-4689-BE0D-D49C2B3EB384}" sourceName="[Calendar_Table].[Date (Year)]">
  <pivotTables>
    <pivotTable tabId="1" name="PivotTable14"/>
    <pivotTable tabId="1" name="PivotTable1"/>
    <pivotTable tabId="1" name="PivotTable10"/>
    <pivotTable tabId="1" name="PivotTable11"/>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74739191">
      <levels count="2">
        <level uniqueName="[Calendar_Table].[Date (Year)].[(All)]" sourceCaption="(All)" count="0"/>
        <level uniqueName="[Calendar_Table].[Date (Year)].[Date (Year)]" sourceCaption="Date (Year)" count="2">
          <ranges>
            <range startItem="0">
              <i n="[Calendar_Table].[Date (Year)].&amp;[2023]" c="2023"/>
              <i n="[Calendar_Table].[Date (Year)].&amp;[2024]" c="2024"/>
            </range>
          </ranges>
        </level>
      </levels>
      <selections count="1">
        <selection n="[Calendar_Table].[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65CD3F5A-F871-495C-8427-3AF4A5C55304}" cache="Slicer_Date__Month" caption="Date (Month)" showCaption="0" level="1" style="MY STYLE" rowHeight="234950"/>
  <slicer name="Date (Year)" xr10:uid="{474B440B-3511-482C-9497-13464FCABF33}" cache="Slicer_Date__Year" caption="Date (Year)" columnCount="2" showCaption="0" level="1" style="MY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31730-F09C-4E33-B6F4-8F2B005CC4EC}">
  <sheetPr codeName="Sheet1"/>
  <dimension ref="A3:N70"/>
  <sheetViews>
    <sheetView zoomScale="78" zoomScaleNormal="100" workbookViewId="0">
      <selection activeCell="I19" sqref="I19"/>
    </sheetView>
  </sheetViews>
  <sheetFormatPr defaultRowHeight="14.4" x14ac:dyDescent="0.3"/>
  <cols>
    <col min="1" max="1" width="16.109375" customWidth="1"/>
    <col min="2" max="2" width="18.44140625" bestFit="1" customWidth="1"/>
    <col min="3" max="3" width="15.88671875" customWidth="1"/>
    <col min="4" max="5" width="13.5546875" customWidth="1"/>
    <col min="6" max="6" width="26.33203125" customWidth="1"/>
    <col min="7" max="7" width="26" customWidth="1"/>
    <col min="8" max="8" width="15.5546875" customWidth="1"/>
    <col min="9" max="9" width="12.5546875" bestFit="1" customWidth="1"/>
    <col min="10" max="10" width="17" bestFit="1" customWidth="1"/>
    <col min="11" max="11" width="23.88671875" bestFit="1" customWidth="1"/>
    <col min="12" max="12" width="20.5546875" customWidth="1"/>
    <col min="13" max="13" width="15.5546875" bestFit="1" customWidth="1"/>
    <col min="14" max="14" width="31.88671875" customWidth="1"/>
    <col min="15" max="15" width="15.5546875" bestFit="1" customWidth="1"/>
    <col min="16" max="16" width="10.77734375" bestFit="1" customWidth="1"/>
    <col min="17" max="27" width="15.5546875" bestFit="1" customWidth="1"/>
    <col min="28" max="28" width="10.77734375" bestFit="1" customWidth="1"/>
    <col min="29" max="734" width="15.5546875" bestFit="1" customWidth="1"/>
    <col min="735" max="735" width="10.77734375" bestFit="1" customWidth="1"/>
  </cols>
  <sheetData>
    <row r="3" spans="1:14" x14ac:dyDescent="0.3">
      <c r="A3" t="s">
        <v>1</v>
      </c>
    </row>
    <row r="4" spans="1:14" x14ac:dyDescent="0.3">
      <c r="A4" t="s">
        <v>0</v>
      </c>
      <c r="E4" s="3" t="s">
        <v>4</v>
      </c>
      <c r="F4" t="s">
        <v>0</v>
      </c>
      <c r="I4" s="3" t="s">
        <v>4</v>
      </c>
      <c r="J4" t="s">
        <v>12</v>
      </c>
      <c r="K4" t="s">
        <v>0</v>
      </c>
      <c r="L4" t="s">
        <v>13</v>
      </c>
      <c r="M4" t="s">
        <v>2</v>
      </c>
      <c r="N4" t="s">
        <v>3</v>
      </c>
    </row>
    <row r="5" spans="1:14" x14ac:dyDescent="0.3">
      <c r="A5" s="21">
        <v>513</v>
      </c>
      <c r="E5" s="4" t="s">
        <v>46</v>
      </c>
      <c r="F5" s="21">
        <v>513</v>
      </c>
      <c r="I5" s="4" t="s">
        <v>46</v>
      </c>
      <c r="J5" s="21">
        <v>513</v>
      </c>
      <c r="K5" s="5"/>
      <c r="L5" s="21">
        <v>513</v>
      </c>
      <c r="M5" s="5"/>
      <c r="N5" s="5"/>
    </row>
    <row r="6" spans="1:14" x14ac:dyDescent="0.3">
      <c r="I6" s="4" t="s">
        <v>47</v>
      </c>
      <c r="J6" s="21">
        <v>431</v>
      </c>
      <c r="K6" s="22">
        <v>-0.15984405458089668</v>
      </c>
      <c r="L6" s="21">
        <v>431</v>
      </c>
      <c r="M6" s="5">
        <v>9.5515594451377039E-3</v>
      </c>
      <c r="N6" s="5">
        <v>-4.9148516176519795E-2</v>
      </c>
    </row>
    <row r="7" spans="1:14" x14ac:dyDescent="0.3">
      <c r="I7" s="4" t="s">
        <v>48</v>
      </c>
      <c r="J7" s="21">
        <v>506</v>
      </c>
      <c r="K7" s="5">
        <v>0.1740139211136891</v>
      </c>
      <c r="L7" s="21">
        <v>506</v>
      </c>
      <c r="M7" s="5">
        <v>-2.1572824930320606E-2</v>
      </c>
      <c r="N7" s="5">
        <v>0.12984642132715141</v>
      </c>
    </row>
    <row r="8" spans="1:14" x14ac:dyDescent="0.3">
      <c r="A8" t="s">
        <v>2</v>
      </c>
      <c r="I8" s="4" t="s">
        <v>5</v>
      </c>
      <c r="J8" s="21">
        <v>469</v>
      </c>
      <c r="K8" s="5">
        <v>-7.3122529644268769E-2</v>
      </c>
      <c r="L8" s="21">
        <v>469</v>
      </c>
      <c r="M8" s="5">
        <v>-2.3263193807881569E-2</v>
      </c>
      <c r="N8" s="5">
        <v>-0.13152821591307384</v>
      </c>
    </row>
    <row r="9" spans="1:14" x14ac:dyDescent="0.3">
      <c r="A9" s="1">
        <v>36.323586744639378</v>
      </c>
      <c r="I9" s="4" t="s">
        <v>6</v>
      </c>
      <c r="J9" s="21">
        <v>519</v>
      </c>
      <c r="K9" s="5">
        <v>0.10660980810234541</v>
      </c>
      <c r="L9" s="21">
        <v>519</v>
      </c>
      <c r="M9" s="5">
        <v>2.181416234207454E-2</v>
      </c>
      <c r="N9" s="5">
        <v>0.11207851140977472</v>
      </c>
    </row>
    <row r="10" spans="1:14" x14ac:dyDescent="0.3">
      <c r="I10" s="4" t="s">
        <v>7</v>
      </c>
      <c r="J10" s="21">
        <v>485</v>
      </c>
      <c r="K10" s="5">
        <v>-6.5510597302504817E-2</v>
      </c>
      <c r="L10" s="21">
        <v>485</v>
      </c>
      <c r="M10" s="5">
        <v>-8.4344707654161553E-3</v>
      </c>
      <c r="N10" s="5">
        <v>-8.4801060776565254E-2</v>
      </c>
    </row>
    <row r="11" spans="1:14" x14ac:dyDescent="0.3">
      <c r="I11" s="4" t="s">
        <v>8</v>
      </c>
      <c r="J11" s="21">
        <v>488</v>
      </c>
      <c r="K11" s="5">
        <v>6.1855670103092781E-3</v>
      </c>
      <c r="L11" s="21">
        <v>488</v>
      </c>
      <c r="M11" s="5">
        <v>-8.6868539269152854E-3</v>
      </c>
      <c r="N11" s="5">
        <v>1.6659102162072979E-2</v>
      </c>
    </row>
    <row r="12" spans="1:14" x14ac:dyDescent="0.3">
      <c r="A12" t="s">
        <v>3</v>
      </c>
      <c r="I12" s="4" t="s">
        <v>9</v>
      </c>
      <c r="J12" s="21">
        <v>530</v>
      </c>
      <c r="K12" s="5">
        <v>8.6065573770491802E-2</v>
      </c>
      <c r="L12" s="21">
        <v>530</v>
      </c>
      <c r="M12" s="5">
        <v>-2.4308503802253842E-3</v>
      </c>
      <c r="N12" s="5">
        <v>8.1317178776254426E-2</v>
      </c>
    </row>
    <row r="13" spans="1:14" x14ac:dyDescent="0.3">
      <c r="A13" s="1">
        <v>4.9591836734693882</v>
      </c>
      <c r="I13" s="4" t="s">
        <v>10</v>
      </c>
      <c r="J13" s="21">
        <v>466</v>
      </c>
      <c r="K13" s="5">
        <v>-0.12075471698113208</v>
      </c>
      <c r="L13" s="21">
        <v>466</v>
      </c>
      <c r="M13" s="5">
        <v>-1.5128697709710052E-3</v>
      </c>
      <c r="N13" s="5">
        <v>-5.1894586894586966E-2</v>
      </c>
    </row>
    <row r="14" spans="1:14" x14ac:dyDescent="0.3">
      <c r="I14" s="4" t="s">
        <v>11</v>
      </c>
      <c r="J14" s="21">
        <v>471</v>
      </c>
      <c r="K14" s="5">
        <v>1.0729613733905579E-2</v>
      </c>
      <c r="L14" s="21">
        <v>471</v>
      </c>
      <c r="M14" s="5">
        <v>-2.8782885118745404E-2</v>
      </c>
      <c r="N14" s="5">
        <v>8.224108658743641E-2</v>
      </c>
    </row>
    <row r="18" spans="1:9" x14ac:dyDescent="0.3">
      <c r="A18" s="3" t="s">
        <v>4</v>
      </c>
      <c r="B18" t="s">
        <v>16</v>
      </c>
      <c r="C18" t="s">
        <v>17</v>
      </c>
    </row>
    <row r="19" spans="1:9" x14ac:dyDescent="0.3">
      <c r="A19" s="4" t="s">
        <v>14</v>
      </c>
      <c r="B19" s="1">
        <v>269</v>
      </c>
      <c r="C19" s="6">
        <v>0.52436647173489281</v>
      </c>
      <c r="D19" s="1"/>
      <c r="I19" s="1" t="str">
        <f>_xlfn.LET(_xlpm.p,_xlfn.XLOOKUP(A5,'Pivot Report'!J5:J16,'Pivot Report'!K5:K16,""),IF(_xlpm.p="","",IF(_xlpm.p&gt;=0,"▲ +"&amp;TEXT(_xlpm.p,"0.0%"),"▼ "&amp;TEXT(ABS(_xlpm.p),"0.0%"))))</f>
        <v/>
      </c>
    </row>
    <row r="20" spans="1:9" x14ac:dyDescent="0.3">
      <c r="A20" s="4" t="s">
        <v>15</v>
      </c>
      <c r="B20" s="1">
        <v>244</v>
      </c>
      <c r="C20" s="6">
        <v>0.47563352826510719</v>
      </c>
      <c r="D20" s="1"/>
      <c r="I20" t="str">
        <f>_xlfn.LET(_xlpm.p,_xlfn.XLOOKUP(A5,'Pivot Report'!J5:J16,'Pivot Report'!M5:M16,""),IF(_xlpm.p="","",IF(_xlpm.p&gt;=0,"▲ +"&amp;TEXT(_xlpm.p,"0.0%"),"▼ "&amp;TEXT(ABS(_xlpm.p),"0.0%"))))</f>
        <v/>
      </c>
    </row>
    <row r="21" spans="1:9" x14ac:dyDescent="0.3">
      <c r="A21" s="4" t="s">
        <v>18</v>
      </c>
      <c r="B21" s="1">
        <v>513</v>
      </c>
      <c r="C21" s="6">
        <v>1</v>
      </c>
      <c r="I21" t="str">
        <f>_xlfn.LET(_xlpm.p,_xlfn.XLOOKUP(A5,'Pivot Report'!J5:J16,'Pivot Report'!N5:N16,""),IF(_xlpm.p="","",IF(_xlpm.p&gt;=0,"▲ +"&amp;TEXT(_xlpm.p,"0.0%"),"▼ "&amp;TEXT(ABS(_xlpm.p),"0.0%"))))</f>
        <v/>
      </c>
    </row>
    <row r="30" spans="1:9" x14ac:dyDescent="0.3">
      <c r="B30" s="7" t="s">
        <v>19</v>
      </c>
      <c r="C30" s="7" t="s">
        <v>20</v>
      </c>
      <c r="D30" s="7" t="s">
        <v>21</v>
      </c>
      <c r="E30" s="11" t="s">
        <v>22</v>
      </c>
    </row>
    <row r="31" spans="1:9" x14ac:dyDescent="0.3">
      <c r="B31" s="8" t="str">
        <f>A20</f>
        <v>Not Admitted</v>
      </c>
      <c r="C31" s="9">
        <f>B20</f>
        <v>244</v>
      </c>
      <c r="D31" s="10">
        <f>C20</f>
        <v>0.47563352826510719</v>
      </c>
      <c r="E31" s="12">
        <f>D31</f>
        <v>0.47563352826510719</v>
      </c>
    </row>
    <row r="32" spans="1:9" x14ac:dyDescent="0.3">
      <c r="B32" s="13" t="str">
        <f>A19</f>
        <v>Admitted</v>
      </c>
      <c r="C32" s="14">
        <f>B19</f>
        <v>269</v>
      </c>
      <c r="D32" s="15">
        <f>C19</f>
        <v>0.52436647173489281</v>
      </c>
      <c r="E32" s="16">
        <f>D32</f>
        <v>0.52436647173489281</v>
      </c>
    </row>
    <row r="35" spans="1:7" x14ac:dyDescent="0.3">
      <c r="A35" s="3" t="s">
        <v>4</v>
      </c>
      <c r="B35" t="s">
        <v>31</v>
      </c>
      <c r="F35" s="3" t="s">
        <v>4</v>
      </c>
      <c r="G35" t="s">
        <v>2</v>
      </c>
    </row>
    <row r="36" spans="1:7" x14ac:dyDescent="0.3">
      <c r="A36" s="4" t="s">
        <v>23</v>
      </c>
      <c r="B36" s="17">
        <v>76</v>
      </c>
      <c r="F36" s="4" t="s">
        <v>40</v>
      </c>
      <c r="G36" s="1">
        <v>31.357142857142858</v>
      </c>
    </row>
    <row r="37" spans="1:7" x14ac:dyDescent="0.3">
      <c r="A37" s="4" t="s">
        <v>24</v>
      </c>
      <c r="B37" s="17">
        <v>69</v>
      </c>
      <c r="F37" s="4" t="s">
        <v>42</v>
      </c>
      <c r="G37" s="1">
        <v>36</v>
      </c>
    </row>
    <row r="38" spans="1:7" x14ac:dyDescent="0.3">
      <c r="A38" s="4" t="s">
        <v>25</v>
      </c>
      <c r="B38" s="17">
        <v>64</v>
      </c>
      <c r="F38" s="4" t="s">
        <v>37</v>
      </c>
      <c r="G38" s="1">
        <v>33.223300970873787</v>
      </c>
    </row>
    <row r="39" spans="1:7" x14ac:dyDescent="0.3">
      <c r="A39" s="4" t="s">
        <v>26</v>
      </c>
      <c r="B39" s="17">
        <v>59</v>
      </c>
      <c r="F39" s="4" t="s">
        <v>41</v>
      </c>
      <c r="G39" s="1">
        <v>37.666666666666664</v>
      </c>
    </row>
    <row r="40" spans="1:7" x14ac:dyDescent="0.3">
      <c r="A40" s="4" t="s">
        <v>27</v>
      </c>
      <c r="B40" s="17">
        <v>58</v>
      </c>
      <c r="F40" s="4" t="s">
        <v>33</v>
      </c>
      <c r="G40" s="1">
        <v>36.8494983277592</v>
      </c>
    </row>
    <row r="41" spans="1:7" x14ac:dyDescent="0.3">
      <c r="A41" s="4" t="s">
        <v>28</v>
      </c>
      <c r="B41" s="17">
        <v>66</v>
      </c>
      <c r="F41" s="4" t="s">
        <v>38</v>
      </c>
      <c r="G41" s="1">
        <v>39.153846153846153</v>
      </c>
    </row>
    <row r="42" spans="1:7" x14ac:dyDescent="0.3">
      <c r="A42" s="4" t="s">
        <v>29</v>
      </c>
      <c r="B42" s="17">
        <v>67</v>
      </c>
      <c r="F42" s="4" t="s">
        <v>39</v>
      </c>
      <c r="G42" s="1">
        <v>38.071428571428569</v>
      </c>
    </row>
    <row r="43" spans="1:7" x14ac:dyDescent="0.3">
      <c r="A43" s="4" t="s">
        <v>30</v>
      </c>
      <c r="B43" s="17">
        <v>54</v>
      </c>
      <c r="F43" s="4" t="s">
        <v>43</v>
      </c>
      <c r="G43" s="1">
        <v>38.799999999999997</v>
      </c>
    </row>
    <row r="44" spans="1:7" x14ac:dyDescent="0.3">
      <c r="A44" s="4" t="s">
        <v>18</v>
      </c>
      <c r="B44" s="1">
        <v>513</v>
      </c>
      <c r="F44" s="4" t="s">
        <v>18</v>
      </c>
      <c r="G44" s="1">
        <v>36.323586744639378</v>
      </c>
    </row>
    <row r="47" spans="1:7" x14ac:dyDescent="0.3">
      <c r="A47" s="3" t="s">
        <v>4</v>
      </c>
      <c r="F47" s="3" t="s">
        <v>4</v>
      </c>
      <c r="G47" t="s">
        <v>12</v>
      </c>
    </row>
    <row r="48" spans="1:7" x14ac:dyDescent="0.3">
      <c r="A48" s="4" t="s">
        <v>45</v>
      </c>
      <c r="F48" s="4" t="s">
        <v>42</v>
      </c>
      <c r="G48" s="17">
        <v>4</v>
      </c>
    </row>
    <row r="49" spans="1:7" x14ac:dyDescent="0.3">
      <c r="A49" s="4" t="s">
        <v>18</v>
      </c>
      <c r="F49" s="4" t="s">
        <v>43</v>
      </c>
      <c r="G49" s="17">
        <v>5</v>
      </c>
    </row>
    <row r="50" spans="1:7" x14ac:dyDescent="0.3">
      <c r="F50" s="4" t="s">
        <v>41</v>
      </c>
      <c r="G50" s="17">
        <v>9</v>
      </c>
    </row>
    <row r="51" spans="1:7" x14ac:dyDescent="0.3">
      <c r="F51" s="4" t="s">
        <v>39</v>
      </c>
      <c r="G51" s="17">
        <v>14</v>
      </c>
    </row>
    <row r="52" spans="1:7" x14ac:dyDescent="0.3">
      <c r="F52" s="4" t="s">
        <v>40</v>
      </c>
      <c r="G52" s="17">
        <v>14</v>
      </c>
    </row>
    <row r="53" spans="1:7" x14ac:dyDescent="0.3">
      <c r="F53" s="4" t="s">
        <v>38</v>
      </c>
      <c r="G53" s="17">
        <v>65</v>
      </c>
    </row>
    <row r="54" spans="1:7" x14ac:dyDescent="0.3">
      <c r="F54" s="4" t="s">
        <v>37</v>
      </c>
      <c r="G54" s="17">
        <v>103</v>
      </c>
    </row>
    <row r="55" spans="1:7" x14ac:dyDescent="0.3">
      <c r="F55" s="4" t="s">
        <v>33</v>
      </c>
      <c r="G55" s="17">
        <v>299</v>
      </c>
    </row>
    <row r="56" spans="1:7" x14ac:dyDescent="0.3">
      <c r="F56" s="4" t="s">
        <v>18</v>
      </c>
      <c r="G56" s="1">
        <v>513</v>
      </c>
    </row>
    <row r="57" spans="1:7" x14ac:dyDescent="0.3">
      <c r="A57" s="18"/>
    </row>
    <row r="58" spans="1:7" x14ac:dyDescent="0.3">
      <c r="A58" s="20"/>
    </row>
    <row r="59" spans="1:7" x14ac:dyDescent="0.3">
      <c r="A59" s="19"/>
    </row>
    <row r="60" spans="1:7" ht="15" customHeight="1" x14ac:dyDescent="0.3">
      <c r="A60" s="19"/>
      <c r="F60" s="3" t="s">
        <v>4</v>
      </c>
      <c r="G60" t="s">
        <v>44</v>
      </c>
    </row>
    <row r="61" spans="1:7" ht="14.4" customHeight="1" x14ac:dyDescent="0.3">
      <c r="A61" s="19"/>
      <c r="F61" s="4" t="s">
        <v>34</v>
      </c>
      <c r="G61" s="17">
        <v>197</v>
      </c>
    </row>
    <row r="62" spans="1:7" x14ac:dyDescent="0.3">
      <c r="A62" s="19"/>
      <c r="F62" s="4" t="s">
        <v>35</v>
      </c>
      <c r="G62" s="17">
        <v>316</v>
      </c>
    </row>
    <row r="63" spans="1:7" x14ac:dyDescent="0.3">
      <c r="A63" s="19"/>
      <c r="F63" s="4" t="s">
        <v>18</v>
      </c>
      <c r="G63" s="17">
        <v>513</v>
      </c>
    </row>
    <row r="64" spans="1:7" x14ac:dyDescent="0.3">
      <c r="A64" s="19"/>
    </row>
    <row r="65" spans="1:7" x14ac:dyDescent="0.3">
      <c r="A65" s="19"/>
    </row>
    <row r="66" spans="1:7" x14ac:dyDescent="0.3">
      <c r="A66" s="19"/>
    </row>
    <row r="67" spans="1:7" x14ac:dyDescent="0.3">
      <c r="F67" s="3" t="s">
        <v>4</v>
      </c>
      <c r="G67" t="s">
        <v>12</v>
      </c>
    </row>
    <row r="68" spans="1:7" x14ac:dyDescent="0.3">
      <c r="F68" s="4" t="s">
        <v>36</v>
      </c>
      <c r="G68" s="17">
        <v>241</v>
      </c>
    </row>
    <row r="69" spans="1:7" x14ac:dyDescent="0.3">
      <c r="F69" s="4" t="s">
        <v>32</v>
      </c>
      <c r="G69" s="17">
        <v>272</v>
      </c>
    </row>
    <row r="70" spans="1:7" x14ac:dyDescent="0.3">
      <c r="F70" s="4" t="s">
        <v>18</v>
      </c>
      <c r="G70" s="17">
        <v>513</v>
      </c>
    </row>
  </sheetData>
  <phoneticPr fontId="1" type="noConversion"/>
  <conditionalFormatting sqref="E31:E32">
    <cfRule type="dataBar" priority="1">
      <dataBar showValue="0">
        <cfvo type="num" val="0"/>
        <cfvo type="num" val="1"/>
        <color rgb="FF0070C0"/>
      </dataBar>
      <extLst>
        <ext xmlns:x14="http://schemas.microsoft.com/office/spreadsheetml/2009/9/main" uri="{B025F937-C7B1-47D3-B67F-A62EFF666E3E}">
          <x14:id>{7B67C2D9-C885-45E3-9677-AA40F7D8CD3D}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B67C2D9-C885-45E3-9677-AA40F7D8CD3D}">
            <x14:dataBar minLength="0" maxLength="100" border="1" gradient="0">
              <x14:cfvo type="num">
                <xm:f>0</xm:f>
              </x14:cfvo>
              <x14:cfvo type="num">
                <xm:f>1</xm:f>
              </x14:cfvo>
              <x14:borderColor rgb="FF00B0F0"/>
              <x14:negativeFillColor rgb="FFFF0000"/>
              <x14:axisColor rgb="FF000000"/>
            </x14:dataBar>
          </x14:cfRule>
          <xm:sqref>E31:E32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3A3D3-ECF1-4264-863B-0034E49D79EE}">
  <sheetPr codeName="Sheet2"/>
  <dimension ref="A1:P28"/>
  <sheetViews>
    <sheetView showGridLines="0" showRowColHeaders="0" tabSelected="1" zoomScale="86" zoomScaleNormal="70" workbookViewId="0">
      <selection activeCell="L3" sqref="L3"/>
    </sheetView>
  </sheetViews>
  <sheetFormatPr defaultRowHeight="14.4" x14ac:dyDescent="0.3"/>
  <cols>
    <col min="1" max="1" width="8.88671875" customWidth="1"/>
  </cols>
  <sheetData>
    <row r="1" spans="1:16" x14ac:dyDescent="0.3">
      <c r="A1" s="2"/>
      <c r="B1" s="2"/>
      <c r="C1" s="2"/>
      <c r="D1" s="2"/>
      <c r="E1" s="2"/>
      <c r="F1" s="2"/>
      <c r="G1" s="2"/>
      <c r="H1" s="2"/>
      <c r="I1" s="2"/>
      <c r="J1" s="2"/>
      <c r="K1" s="2"/>
      <c r="L1" s="2"/>
      <c r="M1" s="2"/>
      <c r="N1" s="2"/>
      <c r="O1" s="2"/>
      <c r="P1" s="2"/>
    </row>
    <row r="2" spans="1:16" x14ac:dyDescent="0.3">
      <c r="A2" s="2"/>
      <c r="B2" s="2"/>
      <c r="C2" s="2"/>
      <c r="D2" s="2"/>
      <c r="E2" s="2"/>
      <c r="F2" s="2"/>
      <c r="G2" s="2"/>
      <c r="H2" s="2"/>
      <c r="I2" s="2"/>
      <c r="J2" s="2"/>
      <c r="K2" s="2"/>
      <c r="L2" s="2"/>
      <c r="M2" s="2"/>
      <c r="N2" s="2"/>
      <c r="O2" s="2"/>
      <c r="P2" s="2"/>
    </row>
    <row r="3" spans="1:16" x14ac:dyDescent="0.3">
      <c r="A3" s="2"/>
      <c r="B3" s="2"/>
      <c r="C3" s="2"/>
      <c r="D3" s="2"/>
      <c r="E3" s="2"/>
      <c r="F3" s="2"/>
      <c r="G3" s="2"/>
      <c r="H3" s="2"/>
      <c r="I3" s="2"/>
      <c r="J3" s="2"/>
      <c r="K3" s="2"/>
      <c r="L3" s="2"/>
      <c r="M3" s="2"/>
      <c r="N3" s="2"/>
      <c r="O3" s="2"/>
      <c r="P3" s="2"/>
    </row>
    <row r="4" spans="1:16" x14ac:dyDescent="0.3">
      <c r="A4" s="2"/>
      <c r="B4" s="2"/>
      <c r="C4" s="2"/>
      <c r="D4" s="2"/>
      <c r="E4" s="2"/>
      <c r="F4" s="2"/>
      <c r="G4" s="2"/>
      <c r="H4" s="2"/>
      <c r="I4" s="2"/>
      <c r="J4" s="2"/>
      <c r="K4" s="2"/>
      <c r="L4" s="2"/>
      <c r="M4" s="2"/>
      <c r="N4" s="2"/>
      <c r="O4" s="2"/>
      <c r="P4" s="2"/>
    </row>
    <row r="5" spans="1:16" x14ac:dyDescent="0.3">
      <c r="A5" s="2"/>
      <c r="B5" s="2"/>
      <c r="C5" s="2"/>
      <c r="D5" s="2"/>
      <c r="E5" s="2"/>
      <c r="F5" s="2"/>
      <c r="G5" s="2"/>
      <c r="H5" s="2"/>
      <c r="I5" s="2"/>
      <c r="J5" s="2"/>
      <c r="K5" s="2"/>
      <c r="L5" s="2"/>
      <c r="M5" s="2"/>
      <c r="N5" s="2"/>
      <c r="O5" s="2"/>
      <c r="P5" s="2"/>
    </row>
    <row r="6" spans="1:16" x14ac:dyDescent="0.3">
      <c r="A6" s="2"/>
      <c r="B6" s="2"/>
      <c r="C6" s="2"/>
      <c r="D6" s="2"/>
      <c r="E6" s="2"/>
      <c r="F6" s="2"/>
      <c r="G6" s="2"/>
      <c r="H6" s="2"/>
      <c r="I6" s="2"/>
      <c r="J6" s="2"/>
      <c r="K6" s="2"/>
      <c r="L6" s="2"/>
      <c r="M6" s="2"/>
      <c r="N6" s="2"/>
      <c r="O6" s="2"/>
      <c r="P6" s="2"/>
    </row>
    <row r="7" spans="1:16" x14ac:dyDescent="0.3">
      <c r="A7" s="2"/>
      <c r="B7" s="2"/>
      <c r="C7" s="2"/>
      <c r="D7" s="2"/>
      <c r="E7" s="2"/>
      <c r="F7" s="2"/>
      <c r="G7" s="2"/>
      <c r="H7" s="2"/>
      <c r="I7" s="2"/>
      <c r="J7" s="2"/>
      <c r="K7" s="2"/>
      <c r="L7" s="2"/>
      <c r="M7" s="2"/>
      <c r="N7" s="2"/>
      <c r="O7" s="2"/>
      <c r="P7" s="2"/>
    </row>
    <row r="8" spans="1:16" x14ac:dyDescent="0.3">
      <c r="A8" s="2"/>
      <c r="B8" s="2"/>
      <c r="C8" s="2"/>
      <c r="D8" s="2"/>
      <c r="E8" s="2"/>
      <c r="F8" s="2"/>
      <c r="G8" s="2"/>
      <c r="H8" s="2"/>
      <c r="I8" s="2"/>
      <c r="J8" s="2"/>
      <c r="K8" s="2"/>
      <c r="L8" s="2"/>
      <c r="M8" s="2"/>
      <c r="N8" s="2"/>
      <c r="O8" s="2"/>
      <c r="P8" s="2"/>
    </row>
    <row r="9" spans="1:16" x14ac:dyDescent="0.3">
      <c r="A9" s="2"/>
      <c r="B9" s="2"/>
      <c r="C9" s="2"/>
      <c r="D9" s="2"/>
      <c r="E9" s="2"/>
      <c r="F9" s="2"/>
      <c r="G9" s="2"/>
      <c r="H9" s="2"/>
      <c r="I9" s="2"/>
      <c r="J9" s="2"/>
      <c r="K9" s="2"/>
      <c r="L9" s="2"/>
      <c r="M9" s="2"/>
      <c r="N9" s="2"/>
      <c r="O9" s="2"/>
      <c r="P9" s="2"/>
    </row>
    <row r="10" spans="1:16" x14ac:dyDescent="0.3">
      <c r="A10" s="2"/>
      <c r="B10" s="2"/>
      <c r="C10" s="2"/>
      <c r="D10" s="2"/>
      <c r="E10" s="2"/>
      <c r="F10" s="2"/>
      <c r="G10" s="2"/>
      <c r="H10" s="2"/>
      <c r="I10" s="2"/>
      <c r="J10" s="2"/>
      <c r="K10" s="2"/>
      <c r="L10" s="2"/>
      <c r="M10" s="2"/>
      <c r="N10" s="2"/>
      <c r="O10" s="2"/>
      <c r="P10" s="2"/>
    </row>
    <row r="11" spans="1:16" x14ac:dyDescent="0.3">
      <c r="A11" s="2"/>
      <c r="B11" s="2"/>
      <c r="C11" s="2"/>
      <c r="D11" s="2"/>
      <c r="E11" s="2"/>
      <c r="F11" s="2"/>
      <c r="G11" s="2"/>
      <c r="H11" s="2"/>
      <c r="I11" s="2"/>
      <c r="J11" s="2"/>
      <c r="K11" s="2"/>
      <c r="L11" s="2"/>
      <c r="M11" s="2"/>
      <c r="N11" s="2"/>
      <c r="O11" s="2"/>
      <c r="P11" s="2"/>
    </row>
    <row r="12" spans="1:16" x14ac:dyDescent="0.3">
      <c r="A12" s="2"/>
      <c r="B12" s="2"/>
      <c r="C12" s="2"/>
      <c r="D12" s="2"/>
      <c r="E12" s="2"/>
      <c r="F12" s="2"/>
      <c r="G12" s="2"/>
      <c r="H12" s="2"/>
      <c r="I12" s="2"/>
      <c r="J12" s="2"/>
      <c r="K12" s="2"/>
      <c r="L12" s="2"/>
      <c r="M12" s="2"/>
      <c r="N12" s="2"/>
      <c r="O12" s="2"/>
      <c r="P12" s="2"/>
    </row>
    <row r="13" spans="1:16" x14ac:dyDescent="0.3">
      <c r="A13" s="2"/>
      <c r="B13" s="2"/>
      <c r="C13" s="2"/>
      <c r="D13" s="2"/>
      <c r="E13" s="2"/>
      <c r="F13" s="2"/>
      <c r="G13" s="2"/>
      <c r="H13" s="2"/>
      <c r="I13" s="2"/>
      <c r="J13" s="2"/>
      <c r="K13" s="2"/>
      <c r="L13" s="2"/>
      <c r="M13" s="2"/>
      <c r="N13" s="2"/>
      <c r="O13" s="2"/>
      <c r="P13" s="2"/>
    </row>
    <row r="14" spans="1:16" x14ac:dyDescent="0.3">
      <c r="A14" s="2"/>
      <c r="B14" s="2"/>
      <c r="C14" s="2"/>
      <c r="D14" s="2"/>
      <c r="E14" s="2"/>
      <c r="F14" s="2"/>
      <c r="G14" s="2"/>
      <c r="H14" s="2"/>
      <c r="I14" s="2"/>
      <c r="J14" s="2"/>
      <c r="K14" s="2"/>
      <c r="L14" s="2"/>
      <c r="M14" s="2"/>
      <c r="N14" s="2"/>
      <c r="O14" s="2"/>
      <c r="P14" s="2"/>
    </row>
    <row r="15" spans="1:16" x14ac:dyDescent="0.3">
      <c r="A15" s="2"/>
      <c r="B15" s="2"/>
      <c r="C15" s="2"/>
      <c r="D15" s="2"/>
      <c r="E15" s="2"/>
      <c r="F15" s="2"/>
      <c r="G15" s="2"/>
      <c r="H15" s="2"/>
      <c r="I15" s="2"/>
      <c r="J15" s="2"/>
      <c r="K15" s="2"/>
      <c r="L15" s="2"/>
      <c r="M15" s="2"/>
      <c r="N15" s="2"/>
      <c r="O15" s="2"/>
      <c r="P15" s="2"/>
    </row>
    <row r="16" spans="1:16" x14ac:dyDescent="0.3">
      <c r="A16" s="2"/>
      <c r="B16" s="2"/>
      <c r="C16" s="2"/>
      <c r="D16" s="2"/>
      <c r="E16" s="2"/>
      <c r="F16" s="2"/>
      <c r="G16" s="2"/>
      <c r="H16" s="2"/>
      <c r="I16" s="2"/>
      <c r="J16" s="2"/>
      <c r="K16" s="2"/>
      <c r="L16" s="2"/>
      <c r="M16" s="2"/>
      <c r="N16" s="2"/>
      <c r="O16" s="2"/>
      <c r="P16" s="2"/>
    </row>
    <row r="17" spans="1:16" x14ac:dyDescent="0.3">
      <c r="A17" s="2"/>
      <c r="B17" s="2"/>
      <c r="C17" s="2"/>
      <c r="D17" s="2"/>
      <c r="E17" s="2"/>
      <c r="F17" s="2"/>
      <c r="G17" s="2"/>
      <c r="H17" s="2"/>
      <c r="I17" s="2"/>
      <c r="J17" s="2"/>
      <c r="K17" s="2"/>
      <c r="L17" s="2"/>
      <c r="M17" s="2"/>
      <c r="N17" s="2"/>
      <c r="O17" s="2"/>
      <c r="P17" s="2"/>
    </row>
    <row r="18" spans="1:16" x14ac:dyDescent="0.3">
      <c r="A18" s="2"/>
      <c r="B18" s="2"/>
      <c r="C18" s="2"/>
      <c r="D18" s="2"/>
      <c r="E18" s="2"/>
      <c r="F18" s="2"/>
      <c r="G18" s="2"/>
      <c r="H18" s="2"/>
      <c r="I18" s="2"/>
      <c r="J18" s="2"/>
      <c r="K18" s="2"/>
      <c r="L18" s="2"/>
      <c r="M18" s="2"/>
      <c r="N18" s="2"/>
      <c r="O18" s="2"/>
      <c r="P18" s="2"/>
    </row>
    <row r="19" spans="1:16" x14ac:dyDescent="0.3">
      <c r="A19" s="2"/>
      <c r="B19" s="2"/>
      <c r="C19" s="2"/>
      <c r="D19" s="2"/>
      <c r="E19" s="2"/>
      <c r="F19" s="2"/>
      <c r="G19" s="2"/>
      <c r="H19" s="2"/>
      <c r="I19" s="2"/>
      <c r="J19" s="2"/>
      <c r="K19" s="2"/>
      <c r="L19" s="2"/>
      <c r="M19" s="2"/>
      <c r="N19" s="2"/>
      <c r="O19" s="2"/>
      <c r="P19" s="2"/>
    </row>
    <row r="20" spans="1:16" ht="19.2" customHeight="1" x14ac:dyDescent="0.3">
      <c r="A20" s="2"/>
      <c r="B20" s="2"/>
      <c r="C20" s="2"/>
      <c r="D20" s="2"/>
      <c r="E20" s="2"/>
      <c r="F20" s="2"/>
      <c r="G20" s="2"/>
      <c r="H20" s="2"/>
      <c r="I20" s="2"/>
      <c r="J20" s="2"/>
      <c r="K20" s="2"/>
      <c r="L20" s="2"/>
      <c r="M20" s="2"/>
      <c r="N20" s="2"/>
      <c r="O20" s="2"/>
      <c r="P20" s="2"/>
    </row>
    <row r="21" spans="1:16" ht="15.6" customHeight="1" x14ac:dyDescent="0.3">
      <c r="A21" s="2"/>
      <c r="B21" s="2"/>
      <c r="C21" s="2"/>
      <c r="D21" s="2"/>
      <c r="E21" s="2"/>
      <c r="F21" s="2"/>
      <c r="G21" s="2"/>
      <c r="H21" s="2"/>
      <c r="I21" s="2"/>
      <c r="J21" s="2"/>
      <c r="K21" s="2"/>
      <c r="L21" s="2"/>
      <c r="M21" s="2"/>
      <c r="N21" s="2"/>
      <c r="O21" s="2"/>
      <c r="P21" s="2"/>
    </row>
    <row r="22" spans="1:16" x14ac:dyDescent="0.3">
      <c r="A22" s="2"/>
      <c r="B22" s="2"/>
      <c r="C22" s="2"/>
      <c r="D22" s="2"/>
      <c r="E22" s="2"/>
      <c r="F22" s="2"/>
      <c r="G22" s="2"/>
      <c r="H22" s="2"/>
      <c r="I22" s="2"/>
      <c r="J22" s="2"/>
      <c r="K22" s="2"/>
      <c r="L22" s="2"/>
      <c r="M22" s="2"/>
      <c r="N22" s="2"/>
      <c r="O22" s="2"/>
      <c r="P22" s="2"/>
    </row>
    <row r="23" spans="1:16" x14ac:dyDescent="0.3">
      <c r="A23" s="2"/>
      <c r="B23" s="2"/>
      <c r="C23" s="2"/>
      <c r="D23" s="2"/>
      <c r="E23" s="2"/>
      <c r="F23" s="2"/>
      <c r="G23" s="2"/>
      <c r="H23" s="2"/>
      <c r="I23" s="2"/>
      <c r="J23" s="2"/>
      <c r="K23" s="2"/>
      <c r="L23" s="2"/>
      <c r="M23" s="2"/>
      <c r="N23" s="2"/>
      <c r="O23" s="2"/>
      <c r="P23" s="2"/>
    </row>
    <row r="24" spans="1:16" x14ac:dyDescent="0.3">
      <c r="A24" s="2"/>
      <c r="B24" s="2"/>
      <c r="C24" s="2"/>
      <c r="D24" s="2"/>
      <c r="E24" s="2"/>
      <c r="F24" s="2"/>
      <c r="G24" s="2"/>
      <c r="H24" s="2"/>
      <c r="I24" s="2"/>
      <c r="J24" s="2"/>
      <c r="K24" s="2"/>
      <c r="L24" s="2"/>
      <c r="M24" s="2"/>
      <c r="N24" s="2"/>
      <c r="O24" s="2"/>
      <c r="P24" s="2"/>
    </row>
    <row r="25" spans="1:16" x14ac:dyDescent="0.3">
      <c r="A25" s="2"/>
      <c r="B25" s="2"/>
      <c r="C25" s="2"/>
      <c r="D25" s="2"/>
      <c r="E25" s="2"/>
      <c r="F25" s="2"/>
      <c r="G25" s="2"/>
      <c r="H25" s="2"/>
      <c r="I25" s="2"/>
      <c r="J25" s="2"/>
      <c r="K25" s="2"/>
      <c r="L25" s="2"/>
      <c r="M25" s="2"/>
      <c r="N25" s="2"/>
      <c r="O25" s="2"/>
      <c r="P25" s="2"/>
    </row>
    <row r="26" spans="1:16" x14ac:dyDescent="0.3">
      <c r="A26" s="2"/>
      <c r="B26" s="2"/>
      <c r="C26" s="2"/>
      <c r="D26" s="2"/>
      <c r="E26" s="2"/>
      <c r="F26" s="2"/>
      <c r="G26" s="2"/>
      <c r="H26" s="2"/>
      <c r="I26" s="2"/>
      <c r="J26" s="2"/>
      <c r="K26" s="2"/>
      <c r="L26" s="2"/>
      <c r="M26" s="2"/>
      <c r="N26" s="2"/>
      <c r="O26" s="2"/>
      <c r="P26" s="2"/>
    </row>
    <row r="27" spans="1:16" x14ac:dyDescent="0.3">
      <c r="A27" s="2"/>
      <c r="B27" s="2"/>
      <c r="C27" s="2"/>
      <c r="D27" s="2"/>
      <c r="E27" s="2"/>
      <c r="F27" s="2"/>
      <c r="G27" s="2"/>
      <c r="H27" s="2"/>
      <c r="I27" s="2"/>
      <c r="J27" s="2"/>
      <c r="K27" s="2"/>
      <c r="L27" s="2"/>
      <c r="M27" s="2"/>
      <c r="N27" s="2"/>
      <c r="O27" s="2"/>
      <c r="P27" s="2"/>
    </row>
    <row r="28" spans="1:16" x14ac:dyDescent="0.3">
      <c r="A28" s="2"/>
      <c r="B28" s="2"/>
      <c r="C28" s="2"/>
      <c r="D28" s="2"/>
      <c r="E28" s="2"/>
      <c r="F28" s="2"/>
      <c r="G28" s="2"/>
      <c r="H28" s="2"/>
      <c r="I28" s="2"/>
      <c r="J28" s="2"/>
      <c r="K28" s="2"/>
      <c r="L28" s="2"/>
      <c r="M28" s="2"/>
      <c r="N28" s="2"/>
      <c r="O28" s="2"/>
      <c r="P28" s="2"/>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EC403023-39F1-446F-B459-59FF0C1969EE}">
  <ds:schemaRefs/>
</ds:datastoreItem>
</file>

<file path=customXml/itemProps2.xml><?xml version="1.0" encoding="utf-8"?>
<ds:datastoreItem xmlns:ds="http://schemas.openxmlformats.org/officeDocument/2006/customXml" ds:itemID="{D325B3A5-191B-41AC-92BA-02AD6E64E05A}">
  <ds:schemaRefs/>
</ds:datastoreItem>
</file>

<file path=customXml/itemProps3.xml><?xml version="1.0" encoding="utf-8"?>
<ds:datastoreItem xmlns:ds="http://schemas.openxmlformats.org/officeDocument/2006/customXml" ds:itemID="{A36A178B-B7C9-49DE-9866-F7227B2E9598}">
  <ds:schemaRefs/>
</ds:datastoreItem>
</file>

<file path=customXml/itemProps4.xml><?xml version="1.0" encoding="utf-8"?>
<ds:datastoreItem xmlns:ds="http://schemas.openxmlformats.org/officeDocument/2006/customXml" ds:itemID="{1373C9DE-D693-4EAA-A217-092F1814A7F2}">
  <ds:schemaRefs/>
</ds:datastoreItem>
</file>

<file path=customXml/itemProps5.xml><?xml version="1.0" encoding="utf-8"?>
<ds:datastoreItem xmlns:ds="http://schemas.openxmlformats.org/officeDocument/2006/customXml" ds:itemID="{D532FC9F-AE3E-4394-964C-D7878B48B593}">
  <ds:schemaRefs/>
</ds:datastoreItem>
</file>

<file path=customXml/itemProps6.xml><?xml version="1.0" encoding="utf-8"?>
<ds:datastoreItem xmlns:ds="http://schemas.openxmlformats.org/officeDocument/2006/customXml" ds:itemID="{FA81D45D-5C14-4B6D-8B91-7EFA697C1C3E}">
  <ds:schemaRefs/>
</ds:datastoreItem>
</file>

<file path=customXml/itemProps7.xml><?xml version="1.0" encoding="utf-8"?>
<ds:datastoreItem xmlns:ds="http://schemas.openxmlformats.org/officeDocument/2006/customXml" ds:itemID="{78A9DC96-B0D1-4B71-843C-BBF3AF7A36DB}">
  <ds:schemaRefs/>
</ds:datastoreItem>
</file>

<file path=customXml/itemProps8.xml><?xml version="1.0" encoding="utf-8"?>
<ds:datastoreItem xmlns:ds="http://schemas.openxmlformats.org/officeDocument/2006/customXml" ds:itemID="{8D19AC0B-F61F-4151-B661-CEB7C8A38BB5}">
  <ds:schemaRefs/>
</ds:datastoreItem>
</file>

<file path=customXml/itemProps9.xml><?xml version="1.0" encoding="utf-8"?>
<ds:datastoreItem xmlns:ds="http://schemas.openxmlformats.org/officeDocument/2006/customXml" ds:itemID="{A5F886E8-060A-4351-ACB5-DE38DC8481D4}">
  <ds:schemaRefs/>
</ds:datastoreItem>
</file>

<file path=customXml/itemProps10.xml><?xml version="1.0" encoding="utf-8"?>
<ds:datastoreItem xmlns:ds="http://schemas.openxmlformats.org/officeDocument/2006/customXml" ds:itemID="{B0C495A0-8DC3-467F-8379-6FC01B14832C}">
  <ds:schemaRefs/>
</ds:datastoreItem>
</file>

<file path=customXml/itemProps11.xml><?xml version="1.0" encoding="utf-8"?>
<ds:datastoreItem xmlns:ds="http://schemas.openxmlformats.org/officeDocument/2006/customXml" ds:itemID="{E65FDD99-BA0D-4736-8956-C0486A94E3E9}">
  <ds:schemaRefs/>
</ds:datastoreItem>
</file>

<file path=customXml/itemProps12.xml><?xml version="1.0" encoding="utf-8"?>
<ds:datastoreItem xmlns:ds="http://schemas.openxmlformats.org/officeDocument/2006/customXml" ds:itemID="{6B6894B4-0EBA-4246-8888-1A53DC24BFBC}">
  <ds:schemaRefs/>
</ds:datastoreItem>
</file>

<file path=customXml/itemProps13.xml><?xml version="1.0" encoding="utf-8"?>
<ds:datastoreItem xmlns:ds="http://schemas.openxmlformats.org/officeDocument/2006/customXml" ds:itemID="{F20B369A-4EC4-4047-AE3F-BB14CE4070F0}">
  <ds:schemaRefs>
    <ds:schemaRef ds:uri="http://schemas.microsoft.com/DataMashup"/>
  </ds:schemaRefs>
</ds:datastoreItem>
</file>

<file path=customXml/itemProps14.xml><?xml version="1.0" encoding="utf-8"?>
<ds:datastoreItem xmlns:ds="http://schemas.openxmlformats.org/officeDocument/2006/customXml" ds:itemID="{30666D9C-50D4-494D-8554-417842890FC1}">
  <ds:schemaRefs/>
</ds:datastoreItem>
</file>

<file path=customXml/itemProps15.xml><?xml version="1.0" encoding="utf-8"?>
<ds:datastoreItem xmlns:ds="http://schemas.openxmlformats.org/officeDocument/2006/customXml" ds:itemID="{67A008B3-A61F-46DD-8270-F7934E34DBF5}">
  <ds:schemaRefs/>
</ds:datastoreItem>
</file>

<file path=customXml/itemProps16.xml><?xml version="1.0" encoding="utf-8"?>
<ds:datastoreItem xmlns:ds="http://schemas.openxmlformats.org/officeDocument/2006/customXml" ds:itemID="{CCBE92E6-ED54-4EC2-90EC-27ABD08C4A15}">
  <ds:schemaRefs/>
</ds:datastoreItem>
</file>

<file path=customXml/itemProps17.xml><?xml version="1.0" encoding="utf-8"?>
<ds:datastoreItem xmlns:ds="http://schemas.openxmlformats.org/officeDocument/2006/customXml" ds:itemID="{73763B5C-B117-471A-BC5C-540B8C91C7B5}">
  <ds:schemaRefs/>
</ds:datastoreItem>
</file>

<file path=customXml/itemProps18.xml><?xml version="1.0" encoding="utf-8"?>
<ds:datastoreItem xmlns:ds="http://schemas.openxmlformats.org/officeDocument/2006/customXml" ds:itemID="{28E2C4FE-D935-4984-88A6-4075F61C01C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 Report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Saad Shah</dc:creator>
  <cp:lastModifiedBy>Saad Shah</cp:lastModifiedBy>
  <dcterms:created xsi:type="dcterms:W3CDTF">2026-10-02T04:08:35Z</dcterms:created>
  <dcterms:modified xsi:type="dcterms:W3CDTF">2026-10-06T06:53:57Z</dcterms:modified>
</cp:coreProperties>
</file>